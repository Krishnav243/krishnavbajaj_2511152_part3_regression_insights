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 LAPTOP\Desktop\part_3_capstone_project\"/>
    </mc:Choice>
  </mc:AlternateContent>
  <xr:revisionPtr revIDLastSave="0" documentId="13_ncr:1_{E98A9E6D-5715-4B11-9679-BC609E4D7A02}" xr6:coauthVersionLast="47" xr6:coauthVersionMax="47" xr10:uidLastSave="{00000000-0000-0000-0000-000000000000}"/>
  <bookViews>
    <workbookView xWindow="-108" yWindow="-108" windowWidth="23256" windowHeight="12456" firstSheet="5" activeTab="8" xr2:uid="{00000000-000D-0000-FFFF-FFFF00000000}"/>
  </bookViews>
  <sheets>
    <sheet name="Original_Data" sheetId="1" r:id="rId1"/>
    <sheet name="Cleaned_data" sheetId="3" r:id="rId2"/>
    <sheet name="Simple_Reg_Marketing" sheetId="6" r:id="rId3"/>
    <sheet name="Simple_Reg_Footfall" sheetId="7" r:id="rId4"/>
    <sheet name="Dummy_Variables" sheetId="4" r:id="rId5"/>
    <sheet name="Multiple_Regression_Residuals" sheetId="13" r:id="rId6"/>
    <sheet name="Multiple_regression_data" sheetId="12" r:id="rId7"/>
    <sheet name="Multiple_Regression" sheetId="10" r:id="rId8"/>
    <sheet name="Model_Comparison" sheetId="11" r:id="rId9"/>
    <sheet name="data_dictionary" sheetId="2"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3" i="4" l="1"/>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2" i="4"/>
  <c r="S3" i="4"/>
  <c r="S4" i="4"/>
  <c r="S5" i="4"/>
  <c r="S6" i="4"/>
  <c r="S7" i="4"/>
  <c r="S8" i="4"/>
  <c r="S9" i="4"/>
  <c r="S10" i="4"/>
  <c r="S11" i="4"/>
  <c r="S12" i="4"/>
  <c r="S13" i="4"/>
  <c r="S14" i="4"/>
  <c r="S15" i="4"/>
  <c r="S16" i="4"/>
  <c r="S17" i="4"/>
  <c r="S18" i="4"/>
  <c r="S19" i="4"/>
  <c r="S20" i="4"/>
  <c r="S21" i="4"/>
  <c r="S22" i="4"/>
  <c r="S23" i="4"/>
  <c r="S24" i="4"/>
  <c r="S25" i="4"/>
  <c r="S26" i="4"/>
  <c r="S27" i="4"/>
  <c r="S28" i="4"/>
  <c r="S29" i="4"/>
  <c r="S30" i="4"/>
  <c r="S31" i="4"/>
  <c r="S32" i="4"/>
  <c r="S33" i="4"/>
  <c r="S34" i="4"/>
  <c r="S35" i="4"/>
  <c r="S36" i="4"/>
  <c r="S37" i="4"/>
  <c r="S38" i="4"/>
  <c r="S39" i="4"/>
  <c r="S40" i="4"/>
  <c r="S41" i="4"/>
  <c r="S42" i="4"/>
  <c r="S43" i="4"/>
  <c r="S44" i="4"/>
  <c r="S45" i="4"/>
  <c r="S46" i="4"/>
  <c r="S47" i="4"/>
  <c r="S48" i="4"/>
  <c r="S49" i="4"/>
  <c r="S50" i="4"/>
  <c r="S51" i="4"/>
  <c r="S52" i="4"/>
  <c r="S53" i="4"/>
  <c r="S54" i="4"/>
  <c r="S55" i="4"/>
  <c r="S56" i="4"/>
  <c r="S57" i="4"/>
  <c r="S58" i="4"/>
  <c r="S59" i="4"/>
  <c r="S60" i="4"/>
  <c r="S61" i="4"/>
  <c r="S62" i="4"/>
  <c r="S63" i="4"/>
  <c r="S64" i="4"/>
  <c r="S65" i="4"/>
  <c r="S66" i="4"/>
  <c r="S67" i="4"/>
  <c r="S68" i="4"/>
  <c r="S69" i="4"/>
  <c r="S70" i="4"/>
  <c r="S71" i="4"/>
  <c r="S72" i="4"/>
  <c r="S73" i="4"/>
  <c r="S74" i="4"/>
  <c r="S75" i="4"/>
  <c r="S76" i="4"/>
  <c r="S77" i="4"/>
  <c r="S78" i="4"/>
  <c r="S79" i="4"/>
  <c r="S80" i="4"/>
  <c r="S81" i="4"/>
  <c r="S82" i="4"/>
  <c r="S83" i="4"/>
  <c r="S84" i="4"/>
  <c r="S85" i="4"/>
  <c r="S86" i="4"/>
  <c r="S87" i="4"/>
  <c r="S88" i="4"/>
  <c r="S89" i="4"/>
  <c r="S90" i="4"/>
  <c r="S91" i="4"/>
  <c r="S92" i="4"/>
  <c r="S93" i="4"/>
  <c r="S94" i="4"/>
  <c r="S95" i="4"/>
  <c r="S96" i="4"/>
  <c r="S97" i="4"/>
  <c r="S98" i="4"/>
  <c r="S99" i="4"/>
  <c r="S100" i="4"/>
  <c r="S101" i="4"/>
  <c r="S102" i="4"/>
  <c r="S103" i="4"/>
  <c r="S104" i="4"/>
  <c r="S105" i="4"/>
  <c r="S106" i="4"/>
  <c r="S107" i="4"/>
  <c r="S108" i="4"/>
  <c r="S109" i="4"/>
  <c r="S110" i="4"/>
  <c r="S111" i="4"/>
  <c r="S112" i="4"/>
  <c r="S113" i="4"/>
  <c r="S114" i="4"/>
  <c r="S115" i="4"/>
  <c r="S116" i="4"/>
  <c r="S117" i="4"/>
  <c r="S118" i="4"/>
  <c r="S119" i="4"/>
  <c r="S120" i="4"/>
  <c r="S121" i="4"/>
  <c r="S122" i="4"/>
  <c r="S123" i="4"/>
  <c r="S124" i="4"/>
  <c r="S125" i="4"/>
  <c r="S126" i="4"/>
  <c r="S127" i="4"/>
  <c r="S128" i="4"/>
  <c r="S129" i="4"/>
  <c r="S130" i="4"/>
  <c r="S131" i="4"/>
  <c r="S132" i="4"/>
  <c r="S133" i="4"/>
  <c r="S134" i="4"/>
  <c r="S135" i="4"/>
  <c r="S136" i="4"/>
  <c r="S137" i="4"/>
  <c r="S138" i="4"/>
  <c r="S139" i="4"/>
  <c r="S140" i="4"/>
  <c r="S141" i="4"/>
  <c r="S142" i="4"/>
  <c r="S143" i="4"/>
  <c r="S144" i="4"/>
  <c r="S145" i="4"/>
  <c r="S146" i="4"/>
  <c r="S147" i="4"/>
  <c r="S148" i="4"/>
  <c r="S149" i="4"/>
  <c r="S150" i="4"/>
  <c r="S151" i="4"/>
  <c r="S152" i="4"/>
  <c r="S153" i="4"/>
  <c r="S154" i="4"/>
  <c r="S155" i="4"/>
  <c r="S156" i="4"/>
  <c r="S157" i="4"/>
  <c r="S158" i="4"/>
  <c r="S159" i="4"/>
  <c r="S160" i="4"/>
  <c r="S161" i="4"/>
  <c r="S162" i="4"/>
  <c r="S163" i="4"/>
  <c r="S164" i="4"/>
  <c r="S165" i="4"/>
  <c r="S166" i="4"/>
  <c r="S167" i="4"/>
  <c r="S168" i="4"/>
  <c r="S169" i="4"/>
  <c r="S170" i="4"/>
  <c r="S171" i="4"/>
  <c r="S172" i="4"/>
  <c r="S173" i="4"/>
  <c r="S174" i="4"/>
  <c r="S175" i="4"/>
  <c r="S176" i="4"/>
  <c r="S177" i="4"/>
  <c r="S178" i="4"/>
  <c r="S179" i="4"/>
  <c r="S180" i="4"/>
  <c r="S181" i="4"/>
  <c r="S182" i="4"/>
  <c r="S183" i="4"/>
  <c r="S184" i="4"/>
  <c r="S185" i="4"/>
  <c r="S186" i="4"/>
  <c r="S187" i="4"/>
  <c r="S188" i="4"/>
  <c r="S189" i="4"/>
  <c r="S190" i="4"/>
  <c r="S191" i="4"/>
  <c r="S192" i="4"/>
  <c r="S193" i="4"/>
  <c r="S194" i="4"/>
  <c r="S195" i="4"/>
  <c r="S196" i="4"/>
  <c r="S197" i="4"/>
  <c r="S198" i="4"/>
  <c r="S199" i="4"/>
  <c r="S200" i="4"/>
  <c r="S201" i="4"/>
  <c r="S202" i="4"/>
  <c r="S203" i="4"/>
  <c r="S204" i="4"/>
  <c r="S205" i="4"/>
  <c r="S206" i="4"/>
  <c r="S207" i="4"/>
  <c r="S208" i="4"/>
  <c r="S209" i="4"/>
  <c r="S210" i="4"/>
  <c r="S211" i="4"/>
  <c r="S212" i="4"/>
  <c r="S213" i="4"/>
  <c r="S214" i="4"/>
  <c r="S215" i="4"/>
  <c r="S216" i="4"/>
  <c r="S217" i="4"/>
  <c r="S218" i="4"/>
  <c r="S219" i="4"/>
  <c r="S220" i="4"/>
  <c r="S221" i="4"/>
  <c r="S222" i="4"/>
  <c r="S223" i="4"/>
  <c r="S224" i="4"/>
  <c r="S225" i="4"/>
  <c r="S226" i="4"/>
  <c r="S227" i="4"/>
  <c r="S228" i="4"/>
  <c r="S229" i="4"/>
  <c r="S230" i="4"/>
  <c r="S231" i="4"/>
  <c r="S232" i="4"/>
  <c r="S233" i="4"/>
  <c r="S234" i="4"/>
  <c r="S235" i="4"/>
  <c r="S236" i="4"/>
  <c r="S237" i="4"/>
  <c r="S238" i="4"/>
  <c r="S239" i="4"/>
  <c r="S240" i="4"/>
  <c r="S241" i="4"/>
  <c r="S242" i="4"/>
  <c r="S243" i="4"/>
  <c r="S244" i="4"/>
  <c r="S245" i="4"/>
  <c r="S246" i="4"/>
  <c r="S247" i="4"/>
  <c r="S248" i="4"/>
  <c r="S249" i="4"/>
  <c r="S250" i="4"/>
  <c r="S251" i="4"/>
  <c r="S252" i="4"/>
  <c r="S253" i="4"/>
  <c r="S254" i="4"/>
  <c r="S255" i="4"/>
  <c r="S256" i="4"/>
  <c r="S257" i="4"/>
  <c r="S258" i="4"/>
  <c r="S259" i="4"/>
  <c r="S260" i="4"/>
  <c r="S261" i="4"/>
  <c r="S262" i="4"/>
  <c r="S263" i="4"/>
  <c r="S264" i="4"/>
  <c r="S265" i="4"/>
  <c r="S266" i="4"/>
  <c r="S267" i="4"/>
  <c r="S268" i="4"/>
  <c r="S269" i="4"/>
  <c r="S270" i="4"/>
  <c r="S271" i="4"/>
  <c r="S272" i="4"/>
  <c r="S273" i="4"/>
  <c r="S274" i="4"/>
  <c r="S275" i="4"/>
  <c r="S276" i="4"/>
  <c r="S277" i="4"/>
  <c r="S278" i="4"/>
  <c r="S279" i="4"/>
  <c r="S280" i="4"/>
  <c r="S281" i="4"/>
  <c r="S282" i="4"/>
  <c r="S283" i="4"/>
  <c r="S284" i="4"/>
  <c r="S285" i="4"/>
  <c r="S286" i="4"/>
  <c r="S287" i="4"/>
  <c r="S288" i="4"/>
  <c r="S289" i="4"/>
  <c r="S290" i="4"/>
  <c r="S291" i="4"/>
  <c r="S292" i="4"/>
  <c r="S293" i="4"/>
  <c r="S294" i="4"/>
  <c r="S295" i="4"/>
  <c r="S296" i="4"/>
  <c r="S297" i="4"/>
  <c r="S298" i="4"/>
  <c r="S299" i="4"/>
  <c r="S300" i="4"/>
  <c r="S301" i="4"/>
  <c r="S302" i="4"/>
  <c r="S303" i="4"/>
  <c r="S304" i="4"/>
  <c r="S305" i="4"/>
  <c r="S306" i="4"/>
  <c r="S307" i="4"/>
  <c r="S308" i="4"/>
  <c r="S309" i="4"/>
  <c r="S310" i="4"/>
  <c r="S311" i="4"/>
  <c r="S312" i="4"/>
  <c r="S313" i="4"/>
  <c r="S314" i="4"/>
  <c r="S315" i="4"/>
  <c r="S316" i="4"/>
  <c r="S317" i="4"/>
  <c r="S318" i="4"/>
  <c r="S319" i="4"/>
  <c r="S320" i="4"/>
  <c r="S321" i="4"/>
  <c r="S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182" i="4"/>
  <c r="R183" i="4"/>
  <c r="R184" i="4"/>
  <c r="R185" i="4"/>
  <c r="R186" i="4"/>
  <c r="R187" i="4"/>
  <c r="R188" i="4"/>
  <c r="R189" i="4"/>
  <c r="R190" i="4"/>
  <c r="R191" i="4"/>
  <c r="R192" i="4"/>
  <c r="R193" i="4"/>
  <c r="R194" i="4"/>
  <c r="R195" i="4"/>
  <c r="R196" i="4"/>
  <c r="R197" i="4"/>
  <c r="R198" i="4"/>
  <c r="R199" i="4"/>
  <c r="R200" i="4"/>
  <c r="R201" i="4"/>
  <c r="R202" i="4"/>
  <c r="R203" i="4"/>
  <c r="R204" i="4"/>
  <c r="R205" i="4"/>
  <c r="R206" i="4"/>
  <c r="R207" i="4"/>
  <c r="R208" i="4"/>
  <c r="R209" i="4"/>
  <c r="R210" i="4"/>
  <c r="R211" i="4"/>
  <c r="R212" i="4"/>
  <c r="R213" i="4"/>
  <c r="R214" i="4"/>
  <c r="R215" i="4"/>
  <c r="R216" i="4"/>
  <c r="R217" i="4"/>
  <c r="R218" i="4"/>
  <c r="R219" i="4"/>
  <c r="R220" i="4"/>
  <c r="R221" i="4"/>
  <c r="R222" i="4"/>
  <c r="R223" i="4"/>
  <c r="R224" i="4"/>
  <c r="R225" i="4"/>
  <c r="R226" i="4"/>
  <c r="R227" i="4"/>
  <c r="R228" i="4"/>
  <c r="R229" i="4"/>
  <c r="R230" i="4"/>
  <c r="R231" i="4"/>
  <c r="R232" i="4"/>
  <c r="R233" i="4"/>
  <c r="R234" i="4"/>
  <c r="R235" i="4"/>
  <c r="R236" i="4"/>
  <c r="R237" i="4"/>
  <c r="R238" i="4"/>
  <c r="R239" i="4"/>
  <c r="R240" i="4"/>
  <c r="R241" i="4"/>
  <c r="R242" i="4"/>
  <c r="R243" i="4"/>
  <c r="R244" i="4"/>
  <c r="R245" i="4"/>
  <c r="R246" i="4"/>
  <c r="R247" i="4"/>
  <c r="R248" i="4"/>
  <c r="R249" i="4"/>
  <c r="R250" i="4"/>
  <c r="R251" i="4"/>
  <c r="R252" i="4"/>
  <c r="R253" i="4"/>
  <c r="R254" i="4"/>
  <c r="R255" i="4"/>
  <c r="R256" i="4"/>
  <c r="R257" i="4"/>
  <c r="R258" i="4"/>
  <c r="R259" i="4"/>
  <c r="R260" i="4"/>
  <c r="R261" i="4"/>
  <c r="R262" i="4"/>
  <c r="R263" i="4"/>
  <c r="R264" i="4"/>
  <c r="R265" i="4"/>
  <c r="R266" i="4"/>
  <c r="R267" i="4"/>
  <c r="R268" i="4"/>
  <c r="R269" i="4"/>
  <c r="R270" i="4"/>
  <c r="R271" i="4"/>
  <c r="R272" i="4"/>
  <c r="R273" i="4"/>
  <c r="R274" i="4"/>
  <c r="R275" i="4"/>
  <c r="R276" i="4"/>
  <c r="R277" i="4"/>
  <c r="R278" i="4"/>
  <c r="R279" i="4"/>
  <c r="R280" i="4"/>
  <c r="R281" i="4"/>
  <c r="R282" i="4"/>
  <c r="R283" i="4"/>
  <c r="R284" i="4"/>
  <c r="R285" i="4"/>
  <c r="R286" i="4"/>
  <c r="R287" i="4"/>
  <c r="R288" i="4"/>
  <c r="R289" i="4"/>
  <c r="R290" i="4"/>
  <c r="R291" i="4"/>
  <c r="R292" i="4"/>
  <c r="R293" i="4"/>
  <c r="R294" i="4"/>
  <c r="R295" i="4"/>
  <c r="R296" i="4"/>
  <c r="R297" i="4"/>
  <c r="R298" i="4"/>
  <c r="R299" i="4"/>
  <c r="R300" i="4"/>
  <c r="R301" i="4"/>
  <c r="R302" i="4"/>
  <c r="R303" i="4"/>
  <c r="R304" i="4"/>
  <c r="R305" i="4"/>
  <c r="R306" i="4"/>
  <c r="R307" i="4"/>
  <c r="R308" i="4"/>
  <c r="R309" i="4"/>
  <c r="R310" i="4"/>
  <c r="R311" i="4"/>
  <c r="R312" i="4"/>
  <c r="R313" i="4"/>
  <c r="R314" i="4"/>
  <c r="R315" i="4"/>
  <c r="R316" i="4"/>
  <c r="R317" i="4"/>
  <c r="R318" i="4"/>
  <c r="R319" i="4"/>
  <c r="R320" i="4"/>
  <c r="R321" i="4"/>
  <c r="R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2" i="4"/>
</calcChain>
</file>

<file path=xl/sharedStrings.xml><?xml version="1.0" encoding="utf-8"?>
<sst xmlns="http://schemas.openxmlformats.org/spreadsheetml/2006/main" count="3114" uniqueCount="180">
  <si>
    <t>store_id</t>
  </si>
  <si>
    <t>month</t>
  </si>
  <si>
    <t>region</t>
  </si>
  <si>
    <t>store_type</t>
  </si>
  <si>
    <t>marketing_spend</t>
  </si>
  <si>
    <t>footfall</t>
  </si>
  <si>
    <t>avg_discount_pct</t>
  </si>
  <si>
    <t>staff_count</t>
  </si>
  <si>
    <t>inventory_availability_pct</t>
  </si>
  <si>
    <t>competitor_distance_km</t>
  </si>
  <si>
    <t>holiday_flag</t>
  </si>
  <si>
    <t>customer_rating</t>
  </si>
  <si>
    <t>monthly_sales</t>
  </si>
  <si>
    <t>monthly_profit</t>
  </si>
  <si>
    <t>STR-1001</t>
  </si>
  <si>
    <t>East</t>
  </si>
  <si>
    <t>Residential</t>
  </si>
  <si>
    <t>STR-1002</t>
  </si>
  <si>
    <t>High Street</t>
  </si>
  <si>
    <t>STR-1003</t>
  </si>
  <si>
    <t>North</t>
  </si>
  <si>
    <t>Airport</t>
  </si>
  <si>
    <t>STR-1004</t>
  </si>
  <si>
    <t>STR-1005</t>
  </si>
  <si>
    <t>South</t>
  </si>
  <si>
    <t>STR-1006</t>
  </si>
  <si>
    <t>STR-1007</t>
  </si>
  <si>
    <t>West</t>
  </si>
  <si>
    <t>Mall</t>
  </si>
  <si>
    <t>STR-1008</t>
  </si>
  <si>
    <t>STR-1009</t>
  </si>
  <si>
    <t>STR-1010</t>
  </si>
  <si>
    <t>STR-1011</t>
  </si>
  <si>
    <t>STR-1012</t>
  </si>
  <si>
    <t>STR-1013</t>
  </si>
  <si>
    <t>STR-1014</t>
  </si>
  <si>
    <t>STR-1015</t>
  </si>
  <si>
    <t>STR-1016</t>
  </si>
  <si>
    <t>STR-1017</t>
  </si>
  <si>
    <t>STR-1018</t>
  </si>
  <si>
    <t>STR-1019</t>
  </si>
  <si>
    <t>STR-1020</t>
  </si>
  <si>
    <t>STR-1021</t>
  </si>
  <si>
    <t>STR-1022</t>
  </si>
  <si>
    <t>STR-1023</t>
  </si>
  <si>
    <t>STR-1024</t>
  </si>
  <si>
    <t>STR-1025</t>
  </si>
  <si>
    <t>STR-1026</t>
  </si>
  <si>
    <t>STR-1027</t>
  </si>
  <si>
    <t>STR-1028</t>
  </si>
  <si>
    <t>STR-1029</t>
  </si>
  <si>
    <t>STR-1030</t>
  </si>
  <si>
    <t>STR-1031</t>
  </si>
  <si>
    <t>STR-1032</t>
  </si>
  <si>
    <t>STR-1033</t>
  </si>
  <si>
    <t>STR-1034</t>
  </si>
  <si>
    <t>STR-1035</t>
  </si>
  <si>
    <t>STR-1036</t>
  </si>
  <si>
    <t>STR-1037</t>
  </si>
  <si>
    <t>STR-1038</t>
  </si>
  <si>
    <t>STR-1039</t>
  </si>
  <si>
    <t>STR-1040</t>
  </si>
  <si>
    <t>STR-1041</t>
  </si>
  <si>
    <t>STR-1042</t>
  </si>
  <si>
    <t>STR-1043</t>
  </si>
  <si>
    <t>STR-1044</t>
  </si>
  <si>
    <t>STR-1045</t>
  </si>
  <si>
    <t>STR-1046</t>
  </si>
  <si>
    <t>STR-1047</t>
  </si>
  <si>
    <t>STR-1048</t>
  </si>
  <si>
    <t>STR-1049</t>
  </si>
  <si>
    <t>STR-1050</t>
  </si>
  <si>
    <t>STR-1051</t>
  </si>
  <si>
    <t>STR-1052</t>
  </si>
  <si>
    <t>STR-1053</t>
  </si>
  <si>
    <t>STR-1054</t>
  </si>
  <si>
    <t>STR-1055</t>
  </si>
  <si>
    <t>STR-1056</t>
  </si>
  <si>
    <t>STR-1057</t>
  </si>
  <si>
    <t>STR-1058</t>
  </si>
  <si>
    <t>STR-1059</t>
  </si>
  <si>
    <t>STR-1060</t>
  </si>
  <si>
    <t>STR-1061</t>
  </si>
  <si>
    <t>STR-1062</t>
  </si>
  <si>
    <t>STR-1063</t>
  </si>
  <si>
    <t>STR-1064</t>
  </si>
  <si>
    <t>STR-1065</t>
  </si>
  <si>
    <t>STR-1066</t>
  </si>
  <si>
    <t>STR-1067</t>
  </si>
  <si>
    <t>STR-1068</t>
  </si>
  <si>
    <t>STR-1069</t>
  </si>
  <si>
    <t>STR-1070</t>
  </si>
  <si>
    <t>STR-1071</t>
  </si>
  <si>
    <t>STR-1072</t>
  </si>
  <si>
    <t>STR-1073</t>
  </si>
  <si>
    <t>STR-1074</t>
  </si>
  <si>
    <t>STR-1075</t>
  </si>
  <si>
    <t>STR-1076</t>
  </si>
  <si>
    <t>STR-1077</t>
  </si>
  <si>
    <t>STR-1078</t>
  </si>
  <si>
    <t>STR-1079</t>
  </si>
  <si>
    <t>STR-1080</t>
  </si>
  <si>
    <t>Column</t>
  </si>
  <si>
    <t>Description</t>
  </si>
  <si>
    <t>Unique store identifier.</t>
  </si>
  <si>
    <t>Reporting month.</t>
  </si>
  <si>
    <t>Business region.</t>
  </si>
  <si>
    <t>Mall, High Street, Residential, or Airport.</t>
  </si>
  <si>
    <t>Monthly marketing spend for the store.</t>
  </si>
  <si>
    <t>Monthly visitor count.</t>
  </si>
  <si>
    <t>Average discount percentage for the month.</t>
  </si>
  <si>
    <t>Number of store staff.</t>
  </si>
  <si>
    <t>Average product availability percentage.</t>
  </si>
  <si>
    <t>Distance to nearest competitor.</t>
  </si>
  <si>
    <t>1 if the month/store period had a meaningful holiday effect; otherwise 0.</t>
  </si>
  <si>
    <t>Average customer rating.</t>
  </si>
  <si>
    <t>Dependent variable for sales regression.</t>
  </si>
  <si>
    <t>Optional secondary business metric.</t>
  </si>
  <si>
    <t>Missing customer_rating</t>
  </si>
  <si>
    <t>Missing competitor_distance_km</t>
  </si>
  <si>
    <t>Duplicate Records</t>
  </si>
  <si>
    <t>None Found</t>
  </si>
  <si>
    <t>Invalid Values</t>
  </si>
  <si>
    <t>Dataset Status</t>
  </si>
  <si>
    <t>Ready for Regression Analysis</t>
  </si>
  <si>
    <t>CHECK</t>
  </si>
  <si>
    <t>RESULT</t>
  </si>
  <si>
    <t>8 values replaced with mean(3.9247)</t>
  </si>
  <si>
    <t>6 values replaced with mean(4.5590)</t>
  </si>
  <si>
    <t>Total Records</t>
  </si>
  <si>
    <t>Region_North</t>
  </si>
  <si>
    <t>Region_South</t>
  </si>
  <si>
    <t>Region_West</t>
  </si>
  <si>
    <t>Store_Airport</t>
  </si>
  <si>
    <t>Store_HighStreet</t>
  </si>
  <si>
    <t>Store_Mall</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</si>
  <si>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</si>
  <si>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</si>
  <si>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</si>
  <si>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</si>
  <si>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</si>
  <si>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</si>
  <si>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</si>
  <si>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</si>
  <si>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</si>
  <si>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</si>
  <si>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</si>
  <si>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</si>
  <si>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</si>
  <si>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</si>
  <si>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</si>
  <si>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</si>
  <si>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</si>
  <si>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</si>
  <si>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</si>
  <si>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</si>
  <si>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</si>
  <si>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</si>
  <si>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</si>
  <si>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</si>
  <si>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Model Name</t>
  </si>
  <si>
    <t>Independent Variables</t>
  </si>
  <si>
    <t>R-Squared</t>
  </si>
  <si>
    <t>Significant Variables</t>
  </si>
  <si>
    <t>Business Usefulness</t>
  </si>
  <si>
    <t>Simple Regression - Marketing Spend</t>
  </si>
  <si>
    <t>Marketing Spend</t>
  </si>
  <si>
    <t>Weak predictor of sales</t>
  </si>
  <si>
    <t>Simple Regression - Footfall</t>
  </si>
  <si>
    <t>Footfall</t>
  </si>
  <si>
    <t>Strong predictor of sales</t>
  </si>
  <si>
    <t>Multiple Regression</t>
  </si>
  <si>
    <t>Marketing Spend, Footfall, Avg Discount %, Region Dummies</t>
  </si>
  <si>
    <t>Best model for business decisions</t>
  </si>
  <si>
    <t>The Multiple Regression model was selected as the final model because it achieved the highest R² value of 0.793, indicating that it explains approximately 79.3% of the variation in monthly sales. The model incorporates multiple factors including Marketing Spend, Footfall, Average Discount Percentage, and Regional dummy variables, providing a more comprehensive understanding of sales performance. Among the simple regression models, Footfall was the strongest individual predictor with an R² value of 0.736, while Marketing Spend explained only 16.7% of the variation in sales. Marketing Spend, Footfall, Region South, and Region West were found to be statistically significant predictors. Therefore, the Multiple Regression model provides the most accurate and reliable prediction of monthly sales and is recommended for business decision-making.</t>
  </si>
  <si>
    <t>RESIDUAL OUTPUT</t>
  </si>
  <si>
    <t>Observation</t>
  </si>
  <si>
    <t>Predicted monthly_sales</t>
  </si>
  <si>
    <t>Residuals</t>
  </si>
  <si>
    <t>Marketing Spend, Footfall, Region_South, Region_West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</si>
</sst>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
  </numFmts>
  <fonts count="4">
    <font>
      <sz val="11"/>
      <name val="Carlito"/>
    </font>
    <font>
      <b/>
      <sz val="11"/>
      <color rgb="FFFFFFFF"/>
      <name val="Carlito"/>
    </font>
    <font>
      <b/>
      <sz val="11"/>
      <name val="Carlito"/>
    </font>
    <font>
      <i/>
      <sz val="11"/>
      <name val="Carlito"/>
    </font>
  </fonts>
  <fills count="3">
    <fill>
      <patternFill patternType="none"/>
    </fill>
    <fill>
      <patternFill patternType="gray125"/>
    </fill>
    <fill>
      <patternFill patternType="solid">
        <fgColor rgb="FF365F91"/>
      </patternFill>
    </fill>
  </fills>
  <borders count="4">
    <border>
      <left/>
      <right/>
      <top/>
      <bottom/>
      <diagonal/>
    </border>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wrapText="1"/>
    </xf>
    <xf numFmtId="164" fontId="0" fillId="0" borderId="0" xfId="0" applyNumberFormat="1"/>
    <xf numFmtId="0" fontId="0" fillId="0" borderId="0" xfId="0" applyAlignment="1">
      <alignment wrapText="1"/>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0" fillId="0" borderId="1" xfId="0" applyBorder="1"/>
    <xf numFmtId="0" fontId="0" fillId="0" borderId="2" xfId="0" applyBorder="1"/>
    <xf numFmtId="0" fontId="3" fillId="0" borderId="3" xfId="0" applyFont="1" applyBorder="1" applyAlignment="1">
      <alignment horizontal="center"/>
    </xf>
    <xf numFmtId="0" fontId="3" fillId="0" borderId="3" xfId="0" applyFont="1" applyBorder="1" applyAlignment="1">
      <alignment horizontal="centerContinuous"/>
    </xf>
  </cellXfs>
  <cellStyles count="1">
    <cellStyle name="Normal" xfId="0" builtinId="0"/>
  </cellStyles>
  <dxfs count="11">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auto="1"/>
        <name val="Carlito"/>
        <scheme val="none"/>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auto="1"/>
        <name val="Carlito"/>
        <scheme val="none"/>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4A4C7B-623D-454A-8407-04EE2783E7FD}" name="Table1" displayName="Table1" ref="Q1:R7" totalsRowShown="0" headerRowDxfId="10" dataDxfId="9">
  <autoFilter ref="Q1:R7" xr:uid="{E04A4C7B-623D-454A-8407-04EE2783E7FD}"/>
  <tableColumns count="2">
    <tableColumn id="1" xr3:uid="{4BA580CA-2693-4BEE-A100-E308026104EF}" name="CHECK" dataDxfId="8"/>
    <tableColumn id="2" xr3:uid="{41D3D6F0-2B03-40A5-B328-F4EC96886D60}" name="RESULT" dataDxfId="7"/>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DB94DF-B247-4009-BA70-720BF0713A96}" name="Table2" displayName="Table2" ref="A1:E4" totalsRowShown="0" headerRowDxfId="6" dataDxfId="5">
  <autoFilter ref="A1:E4" xr:uid="{FFDB94DF-B247-4009-BA70-720BF0713A96}"/>
  <tableColumns count="5">
    <tableColumn id="1" xr3:uid="{BED5715E-A799-4F17-BF37-A210EF66C450}" name="Model Name" dataDxfId="4"/>
    <tableColumn id="2" xr3:uid="{28EB69B8-B918-448E-A99B-FEB5478FA5BA}" name="Independent Variables" dataDxfId="3"/>
    <tableColumn id="3" xr3:uid="{27062412-3281-42AF-8782-F5CFD0C887C6}" name="R-Squared" dataDxfId="2"/>
    <tableColumn id="4" xr3:uid="{BF581BA0-7538-45B7-9B4E-5708089100FB}" name="Significant Variables" dataDxfId="1"/>
    <tableColumn id="5" xr3:uid="{BBA9C35A-D40B-4000-A990-B916BADB37C1}" name="Business Usefulness" dataDxfId="0"/>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1"/>
  <sheetViews>
    <sheetView zoomScale="77" zoomScaleNormal="77" workbookViewId="0">
      <selection activeCell="D23" sqref="D23"/>
    </sheetView>
  </sheetViews>
  <sheetFormatPr defaultRowHeight="13.8"/>
  <cols>
    <col min="1" max="14" width="16" customWidth="1"/>
  </cols>
  <sheetData>
    <row r="1" spans="1:14" ht="22.3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s="2">
        <v>45658</v>
      </c>
      <c r="C2" t="s">
        <v>15</v>
      </c>
      <c r="D2" t="s">
        <v>16</v>
      </c>
      <c r="E2">
        <v>70389.11</v>
      </c>
      <c r="F2">
        <v>8302</v>
      </c>
      <c r="G2">
        <v>4.2000000000000003E-2</v>
      </c>
      <c r="H2">
        <v>17</v>
      </c>
      <c r="I2">
        <v>75</v>
      </c>
      <c r="J2">
        <v>5.28</v>
      </c>
      <c r="K2">
        <v>1</v>
      </c>
      <c r="L2">
        <v>3.1</v>
      </c>
      <c r="M2">
        <v>658832.62</v>
      </c>
      <c r="N2">
        <v>84349.93</v>
      </c>
    </row>
    <row r="3" spans="1:14">
      <c r="A3" t="s">
        <v>14</v>
      </c>
      <c r="B3" s="2">
        <v>45689</v>
      </c>
      <c r="C3" t="s">
        <v>15</v>
      </c>
      <c r="D3" t="s">
        <v>16</v>
      </c>
      <c r="E3">
        <v>43827.89</v>
      </c>
      <c r="F3">
        <v>8487</v>
      </c>
      <c r="G3">
        <v>0.16800000000000001</v>
      </c>
      <c r="H3">
        <v>23</v>
      </c>
      <c r="I3">
        <v>84.4</v>
      </c>
      <c r="J3">
        <v>4.3099999999999996</v>
      </c>
      <c r="K3">
        <v>0</v>
      </c>
      <c r="L3">
        <v>2.8</v>
      </c>
      <c r="M3">
        <v>634436</v>
      </c>
      <c r="N3">
        <v>106130.54</v>
      </c>
    </row>
    <row r="4" spans="1:14">
      <c r="A4" t="s">
        <v>14</v>
      </c>
      <c r="B4" s="2">
        <v>45717</v>
      </c>
      <c r="C4" t="s">
        <v>15</v>
      </c>
      <c r="D4" t="s">
        <v>16</v>
      </c>
      <c r="E4">
        <v>59921.75</v>
      </c>
      <c r="F4">
        <v>9113</v>
      </c>
      <c r="G4">
        <v>0.13300000000000001</v>
      </c>
      <c r="H4">
        <v>20</v>
      </c>
      <c r="I4">
        <v>88</v>
      </c>
      <c r="J4">
        <v>12</v>
      </c>
      <c r="K4">
        <v>0</v>
      </c>
      <c r="L4">
        <v>3.2</v>
      </c>
      <c r="M4">
        <v>678722.06</v>
      </c>
      <c r="N4">
        <v>101883.86</v>
      </c>
    </row>
    <row r="5" spans="1:14">
      <c r="A5" t="s">
        <v>14</v>
      </c>
      <c r="B5" s="2">
        <v>45748</v>
      </c>
      <c r="C5" t="s">
        <v>15</v>
      </c>
      <c r="D5" t="s">
        <v>16</v>
      </c>
      <c r="E5">
        <v>56856.63</v>
      </c>
      <c r="F5">
        <v>9431</v>
      </c>
      <c r="G5">
        <v>0.14199999999999999</v>
      </c>
      <c r="H5">
        <v>23</v>
      </c>
      <c r="I5">
        <v>86.9</v>
      </c>
      <c r="J5">
        <v>4.97</v>
      </c>
      <c r="K5">
        <v>0</v>
      </c>
      <c r="L5">
        <v>3.4</v>
      </c>
      <c r="M5">
        <v>658920.30000000005</v>
      </c>
      <c r="N5">
        <v>97910.37</v>
      </c>
    </row>
    <row r="6" spans="1:14">
      <c r="A6" t="s">
        <v>17</v>
      </c>
      <c r="B6" s="2">
        <v>45658</v>
      </c>
      <c r="C6" t="s">
        <v>15</v>
      </c>
      <c r="D6" t="s">
        <v>18</v>
      </c>
      <c r="E6">
        <v>48412.639999999999</v>
      </c>
      <c r="F6">
        <v>9545</v>
      </c>
      <c r="G6">
        <v>0.23100000000000001</v>
      </c>
      <c r="H6">
        <v>21</v>
      </c>
      <c r="I6">
        <v>97.6</v>
      </c>
      <c r="J6">
        <v>6.94</v>
      </c>
      <c r="K6">
        <v>1</v>
      </c>
      <c r="L6">
        <v>4.2</v>
      </c>
      <c r="M6">
        <v>741341.44</v>
      </c>
      <c r="N6">
        <v>119208.17</v>
      </c>
    </row>
    <row r="7" spans="1:14">
      <c r="A7" t="s">
        <v>17</v>
      </c>
      <c r="B7" s="2">
        <v>45689</v>
      </c>
      <c r="C7" t="s">
        <v>15</v>
      </c>
      <c r="D7" t="s">
        <v>18</v>
      </c>
      <c r="E7">
        <v>64811.21</v>
      </c>
      <c r="F7">
        <v>9792</v>
      </c>
      <c r="G7">
        <v>0.112</v>
      </c>
      <c r="H7">
        <v>20</v>
      </c>
      <c r="I7">
        <v>84.2</v>
      </c>
      <c r="J7">
        <v>2.88</v>
      </c>
      <c r="K7">
        <v>0</v>
      </c>
      <c r="L7">
        <v>4.2</v>
      </c>
      <c r="M7">
        <v>761835.34</v>
      </c>
      <c r="N7">
        <v>149602.23000000001</v>
      </c>
    </row>
    <row r="8" spans="1:14">
      <c r="A8" t="s">
        <v>17</v>
      </c>
      <c r="B8" s="2">
        <v>45717</v>
      </c>
      <c r="C8" t="s">
        <v>15</v>
      </c>
      <c r="D8" t="s">
        <v>18</v>
      </c>
      <c r="E8">
        <v>46213.45</v>
      </c>
      <c r="F8">
        <v>10616</v>
      </c>
      <c r="G8">
        <v>0.122</v>
      </c>
      <c r="H8">
        <v>22</v>
      </c>
      <c r="I8">
        <v>85.2</v>
      </c>
      <c r="J8">
        <v>0.2</v>
      </c>
      <c r="K8">
        <v>1</v>
      </c>
      <c r="L8">
        <v>4.0999999999999996</v>
      </c>
      <c r="M8">
        <v>806615.54</v>
      </c>
      <c r="N8">
        <v>131364.62</v>
      </c>
    </row>
    <row r="9" spans="1:14">
      <c r="A9" t="s">
        <v>17</v>
      </c>
      <c r="B9" s="2">
        <v>45748</v>
      </c>
      <c r="C9" t="s">
        <v>15</v>
      </c>
      <c r="D9" t="s">
        <v>18</v>
      </c>
      <c r="E9">
        <v>68148.52</v>
      </c>
      <c r="F9">
        <v>8567</v>
      </c>
      <c r="G9">
        <v>0.127</v>
      </c>
      <c r="H9">
        <v>23</v>
      </c>
      <c r="I9">
        <v>95.6</v>
      </c>
      <c r="J9">
        <v>0.8</v>
      </c>
      <c r="K9">
        <v>0</v>
      </c>
      <c r="L9">
        <v>3.9</v>
      </c>
      <c r="M9">
        <v>850164.26</v>
      </c>
      <c r="N9">
        <v>149262.75</v>
      </c>
    </row>
    <row r="10" spans="1:14">
      <c r="A10" t="s">
        <v>19</v>
      </c>
      <c r="B10" s="2">
        <v>45658</v>
      </c>
      <c r="C10" t="s">
        <v>20</v>
      </c>
      <c r="D10" t="s">
        <v>21</v>
      </c>
      <c r="E10">
        <v>71838.86</v>
      </c>
      <c r="F10">
        <v>10979</v>
      </c>
      <c r="G10">
        <v>0.215</v>
      </c>
      <c r="H10">
        <v>26</v>
      </c>
      <c r="I10">
        <v>88.6</v>
      </c>
      <c r="J10">
        <v>7.7</v>
      </c>
      <c r="K10">
        <v>1</v>
      </c>
      <c r="L10">
        <v>3.8</v>
      </c>
      <c r="M10">
        <v>930581.7</v>
      </c>
      <c r="N10">
        <v>136207.98000000001</v>
      </c>
    </row>
    <row r="11" spans="1:14">
      <c r="A11" t="s">
        <v>19</v>
      </c>
      <c r="B11" s="2">
        <v>45689</v>
      </c>
      <c r="C11" t="s">
        <v>20</v>
      </c>
      <c r="D11" t="s">
        <v>21</v>
      </c>
      <c r="E11">
        <v>68133.440000000002</v>
      </c>
      <c r="F11">
        <v>9459</v>
      </c>
      <c r="G11">
        <v>0.22</v>
      </c>
      <c r="H11">
        <v>21</v>
      </c>
      <c r="I11">
        <v>85</v>
      </c>
      <c r="J11">
        <v>1.91</v>
      </c>
      <c r="K11">
        <v>0</v>
      </c>
      <c r="L11">
        <v>4.2</v>
      </c>
      <c r="M11">
        <v>779010.94</v>
      </c>
      <c r="N11">
        <v>106328.09</v>
      </c>
    </row>
    <row r="12" spans="1:14">
      <c r="A12" t="s">
        <v>19</v>
      </c>
      <c r="B12" s="2">
        <v>45717</v>
      </c>
      <c r="C12" t="s">
        <v>20</v>
      </c>
      <c r="D12" t="s">
        <v>21</v>
      </c>
      <c r="E12">
        <v>34285.21</v>
      </c>
      <c r="F12">
        <v>9172</v>
      </c>
      <c r="G12">
        <v>0.21299999999999999</v>
      </c>
      <c r="H12">
        <v>22</v>
      </c>
      <c r="I12">
        <v>88.3</v>
      </c>
      <c r="J12">
        <v>10.46</v>
      </c>
      <c r="K12">
        <v>1</v>
      </c>
      <c r="L12">
        <v>3.8</v>
      </c>
      <c r="M12">
        <v>723060.76</v>
      </c>
      <c r="N12">
        <v>123131.24</v>
      </c>
    </row>
    <row r="13" spans="1:14">
      <c r="A13" t="s">
        <v>19</v>
      </c>
      <c r="B13" s="2">
        <v>45748</v>
      </c>
      <c r="C13" t="s">
        <v>20</v>
      </c>
      <c r="D13" t="s">
        <v>21</v>
      </c>
      <c r="E13">
        <v>67979.88</v>
      </c>
      <c r="F13">
        <v>11230</v>
      </c>
      <c r="G13">
        <v>2E-3</v>
      </c>
      <c r="H13">
        <v>28</v>
      </c>
      <c r="I13">
        <v>85.3</v>
      </c>
      <c r="J13">
        <v>7.16</v>
      </c>
      <c r="K13">
        <v>0</v>
      </c>
      <c r="L13">
        <v>3.8</v>
      </c>
      <c r="M13">
        <v>910791.94</v>
      </c>
      <c r="N13">
        <v>158891.28</v>
      </c>
    </row>
    <row r="14" spans="1:14">
      <c r="A14" t="s">
        <v>22</v>
      </c>
      <c r="B14" s="2">
        <v>45658</v>
      </c>
      <c r="C14" t="s">
        <v>15</v>
      </c>
      <c r="D14" t="s">
        <v>16</v>
      </c>
      <c r="E14">
        <v>71828.259999999995</v>
      </c>
      <c r="F14">
        <v>12775</v>
      </c>
      <c r="G14">
        <v>0.11600000000000001</v>
      </c>
      <c r="H14">
        <v>30</v>
      </c>
      <c r="I14">
        <v>81.7</v>
      </c>
      <c r="J14">
        <v>4.24</v>
      </c>
      <c r="K14">
        <v>1</v>
      </c>
      <c r="L14">
        <v>4.2</v>
      </c>
      <c r="M14">
        <v>922168.6</v>
      </c>
      <c r="N14">
        <v>107494.53</v>
      </c>
    </row>
    <row r="15" spans="1:14">
      <c r="A15" t="s">
        <v>22</v>
      </c>
      <c r="B15" s="2">
        <v>45689</v>
      </c>
      <c r="C15" t="s">
        <v>15</v>
      </c>
      <c r="D15" t="s">
        <v>16</v>
      </c>
      <c r="E15">
        <v>55716.82</v>
      </c>
      <c r="F15">
        <v>10054</v>
      </c>
      <c r="G15">
        <v>0.14599999999999999</v>
      </c>
      <c r="H15">
        <v>24</v>
      </c>
      <c r="I15">
        <v>84.9</v>
      </c>
      <c r="J15">
        <v>1.06</v>
      </c>
      <c r="K15">
        <v>0</v>
      </c>
      <c r="L15">
        <v>4.3</v>
      </c>
      <c r="M15">
        <v>726606.28</v>
      </c>
      <c r="N15">
        <v>122729.29</v>
      </c>
    </row>
    <row r="16" spans="1:14">
      <c r="A16" t="s">
        <v>22</v>
      </c>
      <c r="B16" s="2">
        <v>45717</v>
      </c>
      <c r="C16" t="s">
        <v>15</v>
      </c>
      <c r="D16" t="s">
        <v>16</v>
      </c>
      <c r="E16">
        <v>59909.51</v>
      </c>
      <c r="F16">
        <v>8895</v>
      </c>
      <c r="G16">
        <v>0.22800000000000001</v>
      </c>
      <c r="H16">
        <v>23</v>
      </c>
      <c r="I16">
        <v>88.8</v>
      </c>
      <c r="J16">
        <v>0.27</v>
      </c>
      <c r="K16">
        <v>0</v>
      </c>
      <c r="L16">
        <v>4.3</v>
      </c>
      <c r="M16">
        <v>746501.09</v>
      </c>
      <c r="N16">
        <v>136816.72</v>
      </c>
    </row>
    <row r="17" spans="1:14">
      <c r="A17" t="s">
        <v>22</v>
      </c>
      <c r="B17" s="2">
        <v>45748</v>
      </c>
      <c r="C17" t="s">
        <v>15</v>
      </c>
      <c r="D17" t="s">
        <v>16</v>
      </c>
      <c r="E17">
        <v>75305.710000000006</v>
      </c>
      <c r="F17">
        <v>10940</v>
      </c>
      <c r="G17">
        <v>6.0000000000000001E-3</v>
      </c>
      <c r="H17">
        <v>26</v>
      </c>
      <c r="I17">
        <v>76.5</v>
      </c>
      <c r="J17">
        <v>1.32</v>
      </c>
      <c r="K17">
        <v>0</v>
      </c>
      <c r="L17">
        <v>4.5</v>
      </c>
      <c r="M17">
        <v>834017.02</v>
      </c>
      <c r="N17">
        <v>114745.03</v>
      </c>
    </row>
    <row r="18" spans="1:14">
      <c r="A18" t="s">
        <v>23</v>
      </c>
      <c r="B18" s="2">
        <v>45658</v>
      </c>
      <c r="C18" t="s">
        <v>24</v>
      </c>
      <c r="D18" t="s">
        <v>16</v>
      </c>
      <c r="E18">
        <v>48804.22</v>
      </c>
      <c r="F18">
        <v>7057</v>
      </c>
      <c r="G18">
        <v>5.0000000000000001E-3</v>
      </c>
      <c r="H18">
        <v>15</v>
      </c>
      <c r="I18">
        <v>87.7</v>
      </c>
      <c r="J18">
        <v>1.22</v>
      </c>
      <c r="K18">
        <v>0</v>
      </c>
      <c r="L18">
        <v>3.7</v>
      </c>
      <c r="M18">
        <v>666152.52</v>
      </c>
      <c r="N18">
        <v>107490.58</v>
      </c>
    </row>
    <row r="19" spans="1:14">
      <c r="A19" t="s">
        <v>23</v>
      </c>
      <c r="B19" s="2">
        <v>45689</v>
      </c>
      <c r="C19" t="s">
        <v>24</v>
      </c>
      <c r="D19" t="s">
        <v>16</v>
      </c>
      <c r="E19">
        <v>59117.9</v>
      </c>
      <c r="F19">
        <v>4263</v>
      </c>
      <c r="G19">
        <v>0.11899999999999999</v>
      </c>
      <c r="H19">
        <v>9</v>
      </c>
      <c r="I19">
        <v>87.6</v>
      </c>
      <c r="J19">
        <v>4.01</v>
      </c>
      <c r="K19">
        <v>0</v>
      </c>
      <c r="L19">
        <v>3.6</v>
      </c>
      <c r="M19">
        <v>573155.18999999994</v>
      </c>
      <c r="N19">
        <v>83680.75</v>
      </c>
    </row>
    <row r="20" spans="1:14">
      <c r="A20" t="s">
        <v>23</v>
      </c>
      <c r="B20" s="2">
        <v>45717</v>
      </c>
      <c r="C20" t="s">
        <v>24</v>
      </c>
      <c r="D20" t="s">
        <v>16</v>
      </c>
      <c r="E20">
        <v>78831.12</v>
      </c>
      <c r="F20">
        <v>5538</v>
      </c>
      <c r="G20">
        <v>0</v>
      </c>
      <c r="H20">
        <v>15</v>
      </c>
      <c r="I20">
        <v>94.1</v>
      </c>
      <c r="J20">
        <v>0.2</v>
      </c>
      <c r="K20">
        <v>0</v>
      </c>
      <c r="L20">
        <v>3.9</v>
      </c>
      <c r="M20">
        <v>666573.19999999995</v>
      </c>
      <c r="N20">
        <v>140641.01999999999</v>
      </c>
    </row>
    <row r="21" spans="1:14">
      <c r="A21" t="s">
        <v>23</v>
      </c>
      <c r="B21" s="2">
        <v>45748</v>
      </c>
      <c r="C21" t="s">
        <v>24</v>
      </c>
      <c r="D21" t="s">
        <v>16</v>
      </c>
      <c r="E21">
        <v>41441.93</v>
      </c>
      <c r="F21">
        <v>4865</v>
      </c>
      <c r="G21">
        <v>0.158</v>
      </c>
      <c r="H21">
        <v>16</v>
      </c>
      <c r="I21">
        <v>88.3</v>
      </c>
      <c r="J21">
        <v>0.5</v>
      </c>
      <c r="K21">
        <v>0</v>
      </c>
      <c r="L21">
        <v>4</v>
      </c>
      <c r="M21">
        <v>591619.94999999995</v>
      </c>
      <c r="N21">
        <v>99521.35</v>
      </c>
    </row>
    <row r="22" spans="1:14">
      <c r="A22" t="s">
        <v>25</v>
      </c>
      <c r="B22" s="2">
        <v>45658</v>
      </c>
      <c r="C22" t="s">
        <v>20</v>
      </c>
      <c r="D22" t="s">
        <v>16</v>
      </c>
      <c r="E22">
        <v>30356.28</v>
      </c>
      <c r="F22">
        <v>2822</v>
      </c>
      <c r="G22">
        <v>0.23100000000000001</v>
      </c>
      <c r="H22">
        <v>9</v>
      </c>
      <c r="I22">
        <v>84.8</v>
      </c>
      <c r="J22">
        <v>6.95</v>
      </c>
      <c r="K22">
        <v>0</v>
      </c>
      <c r="L22">
        <v>5</v>
      </c>
      <c r="M22">
        <v>415721.82</v>
      </c>
      <c r="N22">
        <v>61179.15</v>
      </c>
    </row>
    <row r="23" spans="1:14">
      <c r="A23" t="s">
        <v>25</v>
      </c>
      <c r="B23" s="2">
        <v>45689</v>
      </c>
      <c r="C23" t="s">
        <v>20</v>
      </c>
      <c r="D23" t="s">
        <v>16</v>
      </c>
      <c r="E23">
        <v>33518.879999999997</v>
      </c>
      <c r="F23">
        <v>2121</v>
      </c>
      <c r="G23">
        <v>0.17599999999999999</v>
      </c>
      <c r="H23">
        <v>8</v>
      </c>
      <c r="I23">
        <v>88.5</v>
      </c>
      <c r="J23">
        <v>0.2</v>
      </c>
      <c r="K23">
        <v>0</v>
      </c>
      <c r="L23">
        <v>5</v>
      </c>
      <c r="M23">
        <v>491905.13</v>
      </c>
      <c r="N23">
        <v>79212.259999999995</v>
      </c>
    </row>
    <row r="24" spans="1:14">
      <c r="A24" t="s">
        <v>25</v>
      </c>
      <c r="B24" s="2">
        <v>45717</v>
      </c>
      <c r="C24" t="s">
        <v>20</v>
      </c>
      <c r="D24" t="s">
        <v>16</v>
      </c>
      <c r="E24">
        <v>42267.37</v>
      </c>
      <c r="F24">
        <v>3364</v>
      </c>
      <c r="G24">
        <v>0.16</v>
      </c>
      <c r="H24">
        <v>13</v>
      </c>
      <c r="I24">
        <v>82</v>
      </c>
      <c r="J24">
        <v>1.61</v>
      </c>
      <c r="K24">
        <v>1</v>
      </c>
      <c r="L24">
        <v>4.5999999999999996</v>
      </c>
      <c r="M24">
        <v>555929.4</v>
      </c>
      <c r="N24">
        <v>115201.76</v>
      </c>
    </row>
    <row r="25" spans="1:14">
      <c r="A25" t="s">
        <v>25</v>
      </c>
      <c r="B25" s="2">
        <v>45748</v>
      </c>
      <c r="C25" t="s">
        <v>20</v>
      </c>
      <c r="D25" t="s">
        <v>16</v>
      </c>
      <c r="E25">
        <v>62060.43</v>
      </c>
      <c r="F25">
        <v>2613</v>
      </c>
      <c r="G25">
        <v>0.216</v>
      </c>
      <c r="H25">
        <v>12</v>
      </c>
      <c r="I25">
        <v>92.1</v>
      </c>
      <c r="J25">
        <v>1.55</v>
      </c>
      <c r="K25">
        <v>0</v>
      </c>
      <c r="L25">
        <v>4.7</v>
      </c>
      <c r="M25">
        <v>565810.99</v>
      </c>
      <c r="N25">
        <v>77825.460000000006</v>
      </c>
    </row>
    <row r="26" spans="1:14">
      <c r="A26" t="s">
        <v>26</v>
      </c>
      <c r="B26" s="2">
        <v>45658</v>
      </c>
      <c r="C26" t="s">
        <v>27</v>
      </c>
      <c r="D26" t="s">
        <v>28</v>
      </c>
      <c r="E26">
        <v>57696.69</v>
      </c>
      <c r="F26">
        <v>10218</v>
      </c>
      <c r="G26">
        <v>0.121</v>
      </c>
      <c r="H26">
        <v>25</v>
      </c>
      <c r="I26">
        <v>94.8</v>
      </c>
      <c r="J26">
        <v>2.99</v>
      </c>
      <c r="K26">
        <v>0</v>
      </c>
      <c r="L26">
        <v>3.5</v>
      </c>
      <c r="M26">
        <v>811771.14</v>
      </c>
      <c r="N26">
        <v>148756.24</v>
      </c>
    </row>
    <row r="27" spans="1:14">
      <c r="A27" t="s">
        <v>26</v>
      </c>
      <c r="B27" s="2">
        <v>45689</v>
      </c>
      <c r="C27" t="s">
        <v>27</v>
      </c>
      <c r="D27" t="s">
        <v>28</v>
      </c>
      <c r="E27">
        <v>172415.52</v>
      </c>
      <c r="F27">
        <v>8927</v>
      </c>
      <c r="G27">
        <v>0.14000000000000001</v>
      </c>
      <c r="H27">
        <v>22</v>
      </c>
      <c r="I27">
        <v>86.2</v>
      </c>
      <c r="J27">
        <v>7.04</v>
      </c>
      <c r="K27">
        <v>0</v>
      </c>
      <c r="L27">
        <v>3.9</v>
      </c>
      <c r="M27">
        <v>800451.94</v>
      </c>
      <c r="N27">
        <v>111572.29</v>
      </c>
    </row>
    <row r="28" spans="1:14">
      <c r="A28" t="s">
        <v>26</v>
      </c>
      <c r="B28" s="2">
        <v>45717</v>
      </c>
      <c r="C28" t="s">
        <v>27</v>
      </c>
      <c r="D28" t="s">
        <v>28</v>
      </c>
      <c r="E28">
        <v>55270.52</v>
      </c>
      <c r="F28">
        <v>9315</v>
      </c>
      <c r="G28">
        <v>0.16900000000000001</v>
      </c>
      <c r="H28">
        <v>23</v>
      </c>
      <c r="I28">
        <v>91.9</v>
      </c>
      <c r="J28">
        <v>4.9400000000000004</v>
      </c>
      <c r="K28">
        <v>0</v>
      </c>
      <c r="L28">
        <v>4</v>
      </c>
      <c r="M28">
        <v>783672.82</v>
      </c>
      <c r="N28">
        <v>112577.14</v>
      </c>
    </row>
    <row r="29" spans="1:14">
      <c r="A29" t="s">
        <v>26</v>
      </c>
      <c r="B29" s="2">
        <v>45748</v>
      </c>
      <c r="C29" t="s">
        <v>27</v>
      </c>
      <c r="D29" t="s">
        <v>28</v>
      </c>
      <c r="E29">
        <v>52715.1</v>
      </c>
      <c r="F29">
        <v>7223</v>
      </c>
      <c r="G29">
        <v>0.122</v>
      </c>
      <c r="H29">
        <v>16</v>
      </c>
      <c r="I29">
        <v>84.2</v>
      </c>
      <c r="J29">
        <v>16.149999999999999</v>
      </c>
      <c r="K29">
        <v>0</v>
      </c>
      <c r="L29">
        <v>3.7</v>
      </c>
      <c r="M29">
        <v>701641.97</v>
      </c>
      <c r="N29">
        <v>106111.86</v>
      </c>
    </row>
    <row r="30" spans="1:14">
      <c r="A30" t="s">
        <v>29</v>
      </c>
      <c r="B30" s="2">
        <v>45658</v>
      </c>
      <c r="C30" t="s">
        <v>15</v>
      </c>
      <c r="D30" t="s">
        <v>16</v>
      </c>
      <c r="E30">
        <v>68600.62</v>
      </c>
      <c r="F30">
        <v>3988</v>
      </c>
      <c r="G30">
        <v>0.124</v>
      </c>
      <c r="H30">
        <v>11</v>
      </c>
      <c r="I30">
        <v>85</v>
      </c>
      <c r="J30">
        <v>0.48</v>
      </c>
      <c r="K30">
        <v>0</v>
      </c>
      <c r="L30">
        <v>3.6</v>
      </c>
      <c r="M30">
        <v>511844.41</v>
      </c>
      <c r="N30">
        <v>72774.44</v>
      </c>
    </row>
    <row r="31" spans="1:14">
      <c r="A31" t="s">
        <v>29</v>
      </c>
      <c r="B31" s="2">
        <v>45689</v>
      </c>
      <c r="C31" t="s">
        <v>15</v>
      </c>
      <c r="D31" t="s">
        <v>16</v>
      </c>
      <c r="E31">
        <v>63176.73</v>
      </c>
      <c r="F31">
        <v>2390</v>
      </c>
      <c r="G31">
        <v>0.216</v>
      </c>
      <c r="H31">
        <v>9</v>
      </c>
      <c r="I31">
        <v>87.5</v>
      </c>
      <c r="J31">
        <v>0.31</v>
      </c>
      <c r="K31">
        <v>0</v>
      </c>
      <c r="L31">
        <v>3.1</v>
      </c>
      <c r="M31">
        <v>537383.79</v>
      </c>
      <c r="N31">
        <v>63773.27</v>
      </c>
    </row>
    <row r="32" spans="1:14">
      <c r="A32" t="s">
        <v>29</v>
      </c>
      <c r="B32" s="2">
        <v>45717</v>
      </c>
      <c r="C32" t="s">
        <v>15</v>
      </c>
      <c r="D32" t="s">
        <v>16</v>
      </c>
      <c r="E32">
        <v>44970.080000000002</v>
      </c>
      <c r="F32">
        <v>2471</v>
      </c>
      <c r="G32">
        <v>0.13600000000000001</v>
      </c>
      <c r="H32">
        <v>11</v>
      </c>
      <c r="I32">
        <v>87.6</v>
      </c>
      <c r="J32">
        <v>3.01</v>
      </c>
      <c r="K32">
        <v>1</v>
      </c>
      <c r="L32">
        <v>3.7</v>
      </c>
      <c r="M32">
        <v>500173.02</v>
      </c>
      <c r="N32">
        <v>70982.05</v>
      </c>
    </row>
    <row r="33" spans="1:14">
      <c r="A33" t="s">
        <v>29</v>
      </c>
      <c r="B33" s="2">
        <v>45748</v>
      </c>
      <c r="C33" t="s">
        <v>15</v>
      </c>
      <c r="D33" t="s">
        <v>16</v>
      </c>
      <c r="E33">
        <v>69816.350000000006</v>
      </c>
      <c r="F33">
        <v>971</v>
      </c>
      <c r="G33">
        <v>0.16800000000000001</v>
      </c>
      <c r="H33">
        <v>5</v>
      </c>
      <c r="I33">
        <v>89.9</v>
      </c>
      <c r="J33">
        <v>12.15</v>
      </c>
      <c r="K33">
        <v>0</v>
      </c>
      <c r="L33">
        <v>3.6</v>
      </c>
      <c r="M33">
        <v>427917.38</v>
      </c>
      <c r="N33">
        <v>81824.31</v>
      </c>
    </row>
    <row r="34" spans="1:14">
      <c r="A34" t="s">
        <v>30</v>
      </c>
      <c r="B34" s="2">
        <v>45658</v>
      </c>
      <c r="C34" t="s">
        <v>20</v>
      </c>
      <c r="D34" t="s">
        <v>16</v>
      </c>
      <c r="E34">
        <v>54597.83</v>
      </c>
      <c r="F34">
        <v>9429</v>
      </c>
      <c r="G34">
        <v>0.188</v>
      </c>
      <c r="H34">
        <v>21</v>
      </c>
      <c r="I34">
        <v>83.3</v>
      </c>
      <c r="J34">
        <v>11.71</v>
      </c>
      <c r="K34">
        <v>0</v>
      </c>
      <c r="L34">
        <v>4.2</v>
      </c>
      <c r="M34">
        <v>641865.03</v>
      </c>
      <c r="N34">
        <v>81342.58</v>
      </c>
    </row>
    <row r="35" spans="1:14">
      <c r="A35" t="s">
        <v>30</v>
      </c>
      <c r="B35" s="2">
        <v>45689</v>
      </c>
      <c r="C35" t="s">
        <v>20</v>
      </c>
      <c r="D35" t="s">
        <v>16</v>
      </c>
      <c r="E35">
        <v>73771.91</v>
      </c>
      <c r="F35">
        <v>11695</v>
      </c>
      <c r="G35">
        <v>7.0000000000000007E-2</v>
      </c>
      <c r="H35">
        <v>25</v>
      </c>
      <c r="I35">
        <v>84.7</v>
      </c>
      <c r="J35">
        <v>0.62</v>
      </c>
      <c r="K35">
        <v>0</v>
      </c>
      <c r="M35">
        <v>799477.76000000001</v>
      </c>
      <c r="N35">
        <v>164974.41</v>
      </c>
    </row>
    <row r="36" spans="1:14">
      <c r="A36" t="s">
        <v>30</v>
      </c>
      <c r="B36" s="2">
        <v>45717</v>
      </c>
      <c r="C36" t="s">
        <v>20</v>
      </c>
      <c r="D36" t="s">
        <v>16</v>
      </c>
      <c r="E36">
        <v>74413.88</v>
      </c>
      <c r="F36">
        <v>9449</v>
      </c>
      <c r="G36">
        <v>3.9E-2</v>
      </c>
      <c r="H36">
        <v>23</v>
      </c>
      <c r="I36">
        <v>92.1</v>
      </c>
      <c r="J36">
        <v>2.12</v>
      </c>
      <c r="K36">
        <v>0</v>
      </c>
      <c r="L36">
        <v>3.5</v>
      </c>
      <c r="M36">
        <v>798952.17</v>
      </c>
      <c r="N36">
        <v>161499.04</v>
      </c>
    </row>
    <row r="37" spans="1:14">
      <c r="A37" t="s">
        <v>30</v>
      </c>
      <c r="B37" s="2">
        <v>45748</v>
      </c>
      <c r="C37" t="s">
        <v>20</v>
      </c>
      <c r="D37" t="s">
        <v>16</v>
      </c>
      <c r="E37">
        <v>52483.77</v>
      </c>
      <c r="F37">
        <v>10453</v>
      </c>
      <c r="G37">
        <v>0.247</v>
      </c>
      <c r="H37">
        <v>25</v>
      </c>
      <c r="I37">
        <v>99</v>
      </c>
      <c r="J37">
        <v>6.31</v>
      </c>
      <c r="K37">
        <v>0</v>
      </c>
      <c r="L37">
        <v>3.6</v>
      </c>
      <c r="M37">
        <v>800979.78</v>
      </c>
      <c r="N37">
        <v>149242.26999999999</v>
      </c>
    </row>
    <row r="38" spans="1:14">
      <c r="A38" t="s">
        <v>31</v>
      </c>
      <c r="B38" s="2">
        <v>45658</v>
      </c>
      <c r="C38" t="s">
        <v>20</v>
      </c>
      <c r="D38" t="s">
        <v>28</v>
      </c>
      <c r="E38">
        <v>75269.87</v>
      </c>
      <c r="F38">
        <v>8838</v>
      </c>
      <c r="G38">
        <v>9.1999999999999998E-2</v>
      </c>
      <c r="H38">
        <v>21</v>
      </c>
      <c r="I38">
        <v>83.1</v>
      </c>
      <c r="J38">
        <v>9.56</v>
      </c>
      <c r="K38">
        <v>1</v>
      </c>
      <c r="L38">
        <v>4.2</v>
      </c>
      <c r="M38">
        <v>820593.93</v>
      </c>
      <c r="N38">
        <v>115860.06</v>
      </c>
    </row>
    <row r="39" spans="1:14">
      <c r="A39" t="s">
        <v>31</v>
      </c>
      <c r="B39" s="2">
        <v>45689</v>
      </c>
      <c r="C39" t="s">
        <v>20</v>
      </c>
      <c r="D39" t="s">
        <v>28</v>
      </c>
      <c r="E39">
        <v>61245.41</v>
      </c>
      <c r="F39">
        <v>8156</v>
      </c>
      <c r="G39">
        <v>0.156</v>
      </c>
      <c r="H39">
        <v>19</v>
      </c>
      <c r="I39">
        <v>92.9</v>
      </c>
      <c r="J39">
        <v>9.0500000000000007</v>
      </c>
      <c r="K39">
        <v>0</v>
      </c>
      <c r="L39">
        <v>3.8</v>
      </c>
      <c r="M39">
        <v>718330.53</v>
      </c>
      <c r="N39">
        <v>93247.9</v>
      </c>
    </row>
    <row r="40" spans="1:14">
      <c r="A40" t="s">
        <v>31</v>
      </c>
      <c r="B40" s="2">
        <v>45717</v>
      </c>
      <c r="C40" t="s">
        <v>20</v>
      </c>
      <c r="D40" t="s">
        <v>28</v>
      </c>
      <c r="E40">
        <v>93381.26</v>
      </c>
      <c r="F40">
        <v>7562</v>
      </c>
      <c r="G40">
        <v>0.19800000000000001</v>
      </c>
      <c r="H40">
        <v>19</v>
      </c>
      <c r="I40">
        <v>82.9</v>
      </c>
      <c r="J40">
        <v>5.05</v>
      </c>
      <c r="K40">
        <v>0</v>
      </c>
      <c r="L40">
        <v>4</v>
      </c>
      <c r="M40">
        <v>736633.4</v>
      </c>
      <c r="N40">
        <v>115654.66</v>
      </c>
    </row>
    <row r="41" spans="1:14">
      <c r="A41" t="s">
        <v>31</v>
      </c>
      <c r="B41" s="2">
        <v>45748</v>
      </c>
      <c r="C41" t="s">
        <v>20</v>
      </c>
      <c r="D41" t="s">
        <v>28</v>
      </c>
      <c r="E41">
        <v>65012.19</v>
      </c>
      <c r="F41">
        <v>9598</v>
      </c>
      <c r="G41">
        <v>8.5000000000000006E-2</v>
      </c>
      <c r="H41">
        <v>24</v>
      </c>
      <c r="I41">
        <v>98.3</v>
      </c>
      <c r="J41">
        <v>0.89</v>
      </c>
      <c r="K41">
        <v>0</v>
      </c>
      <c r="L41">
        <v>3.8</v>
      </c>
      <c r="M41">
        <v>828623.85</v>
      </c>
      <c r="N41">
        <v>167320.51999999999</v>
      </c>
    </row>
    <row r="42" spans="1:14">
      <c r="A42" t="s">
        <v>32</v>
      </c>
      <c r="B42" s="2">
        <v>45658</v>
      </c>
      <c r="C42" t="s">
        <v>15</v>
      </c>
      <c r="D42" t="s">
        <v>28</v>
      </c>
      <c r="E42">
        <v>40462.94</v>
      </c>
      <c r="F42">
        <v>3660</v>
      </c>
      <c r="G42">
        <v>0.218</v>
      </c>
      <c r="H42">
        <v>11</v>
      </c>
      <c r="I42">
        <v>95.2</v>
      </c>
      <c r="J42">
        <v>5.57</v>
      </c>
      <c r="K42">
        <v>0</v>
      </c>
      <c r="L42">
        <v>4.4000000000000004</v>
      </c>
      <c r="M42">
        <v>592195.85</v>
      </c>
      <c r="N42">
        <v>92291.56</v>
      </c>
    </row>
    <row r="43" spans="1:14">
      <c r="A43" t="s">
        <v>32</v>
      </c>
      <c r="B43" s="2">
        <v>45689</v>
      </c>
      <c r="C43" t="s">
        <v>15</v>
      </c>
      <c r="D43" t="s">
        <v>28</v>
      </c>
      <c r="E43">
        <v>46123.88</v>
      </c>
      <c r="F43">
        <v>3227</v>
      </c>
      <c r="G43">
        <v>0.14299999999999999</v>
      </c>
      <c r="H43">
        <v>10</v>
      </c>
      <c r="I43">
        <v>75.400000000000006</v>
      </c>
      <c r="J43">
        <v>1.06</v>
      </c>
      <c r="K43">
        <v>0</v>
      </c>
      <c r="L43">
        <v>4.4000000000000004</v>
      </c>
      <c r="M43">
        <v>532644.46</v>
      </c>
      <c r="N43">
        <v>60681.32</v>
      </c>
    </row>
    <row r="44" spans="1:14">
      <c r="A44" t="s">
        <v>32</v>
      </c>
      <c r="B44" s="2">
        <v>45717</v>
      </c>
      <c r="C44" t="s">
        <v>15</v>
      </c>
      <c r="D44" t="s">
        <v>28</v>
      </c>
      <c r="E44">
        <v>68077.539999999994</v>
      </c>
      <c r="F44">
        <v>3360</v>
      </c>
      <c r="G44">
        <v>0.128</v>
      </c>
      <c r="H44">
        <v>14</v>
      </c>
      <c r="I44">
        <v>88.2</v>
      </c>
      <c r="J44">
        <v>1.24</v>
      </c>
      <c r="K44">
        <v>1</v>
      </c>
      <c r="L44">
        <v>4</v>
      </c>
      <c r="M44">
        <v>657429.18000000005</v>
      </c>
      <c r="N44">
        <v>88919.74</v>
      </c>
    </row>
    <row r="45" spans="1:14">
      <c r="A45" t="s">
        <v>32</v>
      </c>
      <c r="B45" s="2">
        <v>45748</v>
      </c>
      <c r="C45" t="s">
        <v>15</v>
      </c>
      <c r="D45" t="s">
        <v>28</v>
      </c>
      <c r="E45">
        <v>64882.14</v>
      </c>
      <c r="F45">
        <v>3642</v>
      </c>
      <c r="G45">
        <v>1.9E-2</v>
      </c>
      <c r="H45">
        <v>13</v>
      </c>
      <c r="I45">
        <v>87.8</v>
      </c>
      <c r="J45">
        <v>4.5199999999999996</v>
      </c>
      <c r="K45">
        <v>0</v>
      </c>
      <c r="L45">
        <v>4.2</v>
      </c>
      <c r="M45">
        <v>605178</v>
      </c>
      <c r="N45">
        <v>106958.74</v>
      </c>
    </row>
    <row r="46" spans="1:14">
      <c r="A46" t="s">
        <v>33</v>
      </c>
      <c r="B46" s="2">
        <v>45658</v>
      </c>
      <c r="C46" t="s">
        <v>27</v>
      </c>
      <c r="D46" t="s">
        <v>16</v>
      </c>
      <c r="E46">
        <v>138855.51</v>
      </c>
      <c r="F46">
        <v>5145</v>
      </c>
      <c r="G46">
        <v>0.06</v>
      </c>
      <c r="H46">
        <v>17</v>
      </c>
      <c r="I46">
        <v>88.2</v>
      </c>
      <c r="J46">
        <v>9.58</v>
      </c>
      <c r="K46">
        <v>0</v>
      </c>
      <c r="L46">
        <v>3.2</v>
      </c>
      <c r="M46">
        <v>595467.6</v>
      </c>
      <c r="N46">
        <v>104276.46</v>
      </c>
    </row>
    <row r="47" spans="1:14">
      <c r="A47" t="s">
        <v>33</v>
      </c>
      <c r="B47" s="2">
        <v>45689</v>
      </c>
      <c r="C47" t="s">
        <v>27</v>
      </c>
      <c r="D47" t="s">
        <v>16</v>
      </c>
      <c r="E47">
        <v>63630.21</v>
      </c>
      <c r="F47">
        <v>4460</v>
      </c>
      <c r="G47">
        <v>0.23499999999999999</v>
      </c>
      <c r="H47">
        <v>14</v>
      </c>
      <c r="I47">
        <v>98.6</v>
      </c>
      <c r="J47">
        <v>5.52</v>
      </c>
      <c r="K47">
        <v>0</v>
      </c>
      <c r="L47">
        <v>3.5</v>
      </c>
      <c r="M47">
        <v>599603.4</v>
      </c>
      <c r="N47">
        <v>112685.12</v>
      </c>
    </row>
    <row r="48" spans="1:14">
      <c r="A48" t="s">
        <v>33</v>
      </c>
      <c r="B48" s="2">
        <v>45717</v>
      </c>
      <c r="C48" t="s">
        <v>27</v>
      </c>
      <c r="D48" t="s">
        <v>16</v>
      </c>
      <c r="E48">
        <v>50043.65</v>
      </c>
      <c r="F48">
        <v>3804</v>
      </c>
      <c r="G48">
        <v>0.113</v>
      </c>
      <c r="H48">
        <v>11</v>
      </c>
      <c r="I48">
        <v>90.9</v>
      </c>
      <c r="J48">
        <v>2.7</v>
      </c>
      <c r="K48">
        <v>1</v>
      </c>
      <c r="L48">
        <v>3.2</v>
      </c>
      <c r="M48">
        <v>614800.09</v>
      </c>
      <c r="N48">
        <v>100044.2</v>
      </c>
    </row>
    <row r="49" spans="1:14">
      <c r="A49" t="s">
        <v>33</v>
      </c>
      <c r="B49" s="2">
        <v>45748</v>
      </c>
      <c r="C49" t="s">
        <v>27</v>
      </c>
      <c r="D49" t="s">
        <v>16</v>
      </c>
      <c r="E49">
        <v>42093.84</v>
      </c>
      <c r="F49">
        <v>4074</v>
      </c>
      <c r="G49">
        <v>0.155</v>
      </c>
      <c r="H49">
        <v>15</v>
      </c>
      <c r="I49">
        <v>88</v>
      </c>
      <c r="J49">
        <v>9.64</v>
      </c>
      <c r="K49">
        <v>0</v>
      </c>
      <c r="L49">
        <v>3.3</v>
      </c>
      <c r="M49">
        <v>585365.73</v>
      </c>
      <c r="N49">
        <v>81011.520000000004</v>
      </c>
    </row>
    <row r="50" spans="1:14">
      <c r="A50" t="s">
        <v>34</v>
      </c>
      <c r="B50" s="2">
        <v>45658</v>
      </c>
      <c r="C50" t="s">
        <v>20</v>
      </c>
      <c r="D50" t="s">
        <v>28</v>
      </c>
      <c r="E50">
        <v>46624.05</v>
      </c>
      <c r="F50">
        <v>5104</v>
      </c>
      <c r="G50">
        <v>0.109</v>
      </c>
      <c r="H50">
        <v>11</v>
      </c>
      <c r="I50">
        <v>97.3</v>
      </c>
      <c r="J50">
        <v>3.49</v>
      </c>
      <c r="K50">
        <v>1</v>
      </c>
      <c r="L50">
        <v>4.7</v>
      </c>
      <c r="M50">
        <v>622811.74</v>
      </c>
      <c r="N50">
        <v>109978.35</v>
      </c>
    </row>
    <row r="51" spans="1:14">
      <c r="A51" t="s">
        <v>34</v>
      </c>
      <c r="B51" s="2">
        <v>45689</v>
      </c>
      <c r="C51" t="s">
        <v>20</v>
      </c>
      <c r="D51" t="s">
        <v>28</v>
      </c>
      <c r="E51">
        <v>49710.29</v>
      </c>
      <c r="F51">
        <v>5559</v>
      </c>
      <c r="G51">
        <v>0.218</v>
      </c>
      <c r="H51">
        <v>14</v>
      </c>
      <c r="I51">
        <v>71</v>
      </c>
      <c r="J51">
        <v>9.11</v>
      </c>
      <c r="K51">
        <v>0</v>
      </c>
      <c r="L51">
        <v>4.5999999999999996</v>
      </c>
      <c r="M51">
        <v>603297.56999999995</v>
      </c>
      <c r="N51">
        <v>60592.26</v>
      </c>
    </row>
    <row r="52" spans="1:14">
      <c r="A52" t="s">
        <v>34</v>
      </c>
      <c r="B52" s="2">
        <v>45717</v>
      </c>
      <c r="C52" t="s">
        <v>20</v>
      </c>
      <c r="D52" t="s">
        <v>28</v>
      </c>
      <c r="E52">
        <v>48287.85</v>
      </c>
      <c r="F52">
        <v>5150</v>
      </c>
      <c r="G52">
        <v>8.0000000000000002E-3</v>
      </c>
      <c r="H52">
        <v>12</v>
      </c>
      <c r="I52">
        <v>80.400000000000006</v>
      </c>
      <c r="J52">
        <v>7.4</v>
      </c>
      <c r="K52">
        <v>0</v>
      </c>
      <c r="L52">
        <v>4.5</v>
      </c>
      <c r="M52">
        <v>625672.86</v>
      </c>
      <c r="N52">
        <v>118020.12</v>
      </c>
    </row>
    <row r="53" spans="1:14">
      <c r="A53" t="s">
        <v>34</v>
      </c>
      <c r="B53" s="2">
        <v>45748</v>
      </c>
      <c r="C53" t="s">
        <v>20</v>
      </c>
      <c r="D53" t="s">
        <v>28</v>
      </c>
      <c r="E53">
        <v>65312.49</v>
      </c>
      <c r="F53">
        <v>7189</v>
      </c>
      <c r="G53">
        <v>0.05</v>
      </c>
      <c r="H53">
        <v>19</v>
      </c>
      <c r="I53">
        <v>93.7</v>
      </c>
      <c r="J53">
        <v>7.16</v>
      </c>
      <c r="K53">
        <v>0</v>
      </c>
      <c r="L53">
        <v>4.5999999999999996</v>
      </c>
      <c r="M53">
        <v>773815.14</v>
      </c>
      <c r="N53">
        <v>133948.39000000001</v>
      </c>
    </row>
    <row r="54" spans="1:14">
      <c r="A54" t="s">
        <v>35</v>
      </c>
      <c r="B54" s="2">
        <v>45658</v>
      </c>
      <c r="C54" t="s">
        <v>27</v>
      </c>
      <c r="D54" t="s">
        <v>18</v>
      </c>
      <c r="E54">
        <v>53015.46</v>
      </c>
      <c r="F54">
        <v>3279</v>
      </c>
      <c r="G54">
        <v>8.6999999999999994E-2</v>
      </c>
      <c r="H54">
        <v>9</v>
      </c>
      <c r="I54">
        <v>84.3</v>
      </c>
      <c r="J54">
        <v>22.02</v>
      </c>
      <c r="K54">
        <v>0</v>
      </c>
      <c r="L54">
        <v>3.9</v>
      </c>
      <c r="M54">
        <v>463534.25</v>
      </c>
      <c r="N54">
        <v>81834.539999999994</v>
      </c>
    </row>
    <row r="55" spans="1:14">
      <c r="A55" t="s">
        <v>35</v>
      </c>
      <c r="B55" s="2">
        <v>45689</v>
      </c>
      <c r="C55" t="s">
        <v>27</v>
      </c>
      <c r="D55" t="s">
        <v>18</v>
      </c>
      <c r="E55">
        <v>99874.01</v>
      </c>
      <c r="F55">
        <v>5887</v>
      </c>
      <c r="G55">
        <v>0.26200000000000001</v>
      </c>
      <c r="H55">
        <v>14</v>
      </c>
      <c r="I55">
        <v>88.7</v>
      </c>
      <c r="J55">
        <v>6.18</v>
      </c>
      <c r="K55">
        <v>0</v>
      </c>
      <c r="L55">
        <v>4.7</v>
      </c>
      <c r="M55">
        <v>746677.75</v>
      </c>
      <c r="N55">
        <v>122437.84</v>
      </c>
    </row>
    <row r="56" spans="1:14">
      <c r="A56" t="s">
        <v>35</v>
      </c>
      <c r="B56" s="2">
        <v>45717</v>
      </c>
      <c r="C56" t="s">
        <v>27</v>
      </c>
      <c r="D56" t="s">
        <v>18</v>
      </c>
      <c r="E56">
        <v>81195.5</v>
      </c>
      <c r="F56">
        <v>5516</v>
      </c>
      <c r="G56">
        <v>0.106</v>
      </c>
      <c r="H56">
        <v>14</v>
      </c>
      <c r="I56">
        <v>88</v>
      </c>
      <c r="J56">
        <v>1.76</v>
      </c>
      <c r="K56">
        <v>0</v>
      </c>
      <c r="L56">
        <v>4.3</v>
      </c>
      <c r="M56">
        <v>720852.5</v>
      </c>
      <c r="N56">
        <v>98565.62</v>
      </c>
    </row>
    <row r="57" spans="1:14">
      <c r="A57" t="s">
        <v>35</v>
      </c>
      <c r="B57" s="2">
        <v>45748</v>
      </c>
      <c r="C57" t="s">
        <v>27</v>
      </c>
      <c r="D57" t="s">
        <v>18</v>
      </c>
      <c r="E57">
        <v>27808.6</v>
      </c>
      <c r="F57">
        <v>2863</v>
      </c>
      <c r="G57">
        <v>0.08</v>
      </c>
      <c r="H57">
        <v>13</v>
      </c>
      <c r="I57">
        <v>89.3</v>
      </c>
      <c r="J57">
        <v>0.47</v>
      </c>
      <c r="K57">
        <v>0</v>
      </c>
      <c r="L57">
        <v>4.0999999999999996</v>
      </c>
      <c r="M57">
        <v>487464.91</v>
      </c>
      <c r="N57">
        <v>64562.26</v>
      </c>
    </row>
    <row r="58" spans="1:14">
      <c r="A58" t="s">
        <v>36</v>
      </c>
      <c r="B58" s="2">
        <v>45658</v>
      </c>
      <c r="C58" t="s">
        <v>15</v>
      </c>
      <c r="D58" t="s">
        <v>21</v>
      </c>
      <c r="E58">
        <v>19365.060000000001</v>
      </c>
      <c r="F58">
        <v>2378</v>
      </c>
      <c r="G58">
        <v>0</v>
      </c>
      <c r="H58">
        <v>12</v>
      </c>
      <c r="I58">
        <v>94.8</v>
      </c>
      <c r="J58">
        <v>0.2</v>
      </c>
      <c r="K58">
        <v>0</v>
      </c>
      <c r="L58">
        <v>3.5</v>
      </c>
      <c r="M58">
        <v>518049.26</v>
      </c>
      <c r="N58">
        <v>108592.49</v>
      </c>
    </row>
    <row r="59" spans="1:14">
      <c r="A59" t="s">
        <v>36</v>
      </c>
      <c r="B59" s="2">
        <v>45689</v>
      </c>
      <c r="C59" t="s">
        <v>15</v>
      </c>
      <c r="D59" t="s">
        <v>21</v>
      </c>
      <c r="E59">
        <v>59405.68</v>
      </c>
      <c r="F59">
        <v>2515</v>
      </c>
      <c r="G59">
        <v>3.9E-2</v>
      </c>
      <c r="H59">
        <v>12</v>
      </c>
      <c r="I59">
        <v>76</v>
      </c>
      <c r="J59">
        <v>5.1100000000000003</v>
      </c>
      <c r="K59">
        <v>0</v>
      </c>
      <c r="L59">
        <v>3.7</v>
      </c>
      <c r="M59">
        <v>500298.48</v>
      </c>
      <c r="N59">
        <v>73461.320000000007</v>
      </c>
    </row>
    <row r="60" spans="1:14">
      <c r="A60" t="s">
        <v>36</v>
      </c>
      <c r="B60" s="2">
        <v>45717</v>
      </c>
      <c r="C60" t="s">
        <v>15</v>
      </c>
      <c r="D60" t="s">
        <v>21</v>
      </c>
      <c r="E60">
        <v>118910.48</v>
      </c>
      <c r="F60">
        <v>4022</v>
      </c>
      <c r="G60">
        <v>0.13700000000000001</v>
      </c>
      <c r="H60">
        <v>11</v>
      </c>
      <c r="I60">
        <v>87.1</v>
      </c>
      <c r="J60">
        <v>0.2</v>
      </c>
      <c r="K60">
        <v>0</v>
      </c>
      <c r="L60">
        <v>3.1</v>
      </c>
      <c r="M60">
        <v>617291.15</v>
      </c>
      <c r="N60">
        <v>117782</v>
      </c>
    </row>
    <row r="61" spans="1:14">
      <c r="A61" t="s">
        <v>36</v>
      </c>
      <c r="B61" s="2">
        <v>45748</v>
      </c>
      <c r="C61" t="s">
        <v>15</v>
      </c>
      <c r="D61" t="s">
        <v>21</v>
      </c>
      <c r="E61">
        <v>52952.12</v>
      </c>
      <c r="F61">
        <v>4377</v>
      </c>
      <c r="G61">
        <v>9.1999999999999998E-2</v>
      </c>
      <c r="H61">
        <v>14</v>
      </c>
      <c r="I61">
        <v>88.6</v>
      </c>
      <c r="J61">
        <v>13.59</v>
      </c>
      <c r="K61">
        <v>0</v>
      </c>
      <c r="L61">
        <v>3.1</v>
      </c>
      <c r="M61">
        <v>553756.43000000005</v>
      </c>
      <c r="N61">
        <v>86166.77</v>
      </c>
    </row>
    <row r="62" spans="1:14">
      <c r="A62" t="s">
        <v>37</v>
      </c>
      <c r="B62" s="2">
        <v>45658</v>
      </c>
      <c r="C62" t="s">
        <v>24</v>
      </c>
      <c r="D62" t="s">
        <v>18</v>
      </c>
      <c r="E62">
        <v>74907.98</v>
      </c>
      <c r="F62">
        <v>5306</v>
      </c>
      <c r="G62">
        <v>6.2E-2</v>
      </c>
      <c r="H62">
        <v>16</v>
      </c>
      <c r="I62">
        <v>95.6</v>
      </c>
      <c r="J62">
        <v>1.02</v>
      </c>
      <c r="K62">
        <v>0</v>
      </c>
      <c r="L62">
        <v>3.7</v>
      </c>
      <c r="M62">
        <v>749559.71</v>
      </c>
      <c r="N62">
        <v>144522.53</v>
      </c>
    </row>
    <row r="63" spans="1:14">
      <c r="A63" t="s">
        <v>37</v>
      </c>
      <c r="B63" s="2">
        <v>45689</v>
      </c>
      <c r="C63" t="s">
        <v>24</v>
      </c>
      <c r="D63" t="s">
        <v>18</v>
      </c>
      <c r="E63">
        <v>37284.660000000003</v>
      </c>
      <c r="F63">
        <v>3928</v>
      </c>
      <c r="G63">
        <v>7.3999999999999996E-2</v>
      </c>
      <c r="H63">
        <v>12</v>
      </c>
      <c r="I63">
        <v>86.5</v>
      </c>
      <c r="J63">
        <v>1.64</v>
      </c>
      <c r="K63">
        <v>0</v>
      </c>
      <c r="L63">
        <v>3.8</v>
      </c>
      <c r="M63">
        <v>615966.48</v>
      </c>
      <c r="N63">
        <v>91509.38</v>
      </c>
    </row>
    <row r="64" spans="1:14">
      <c r="A64" t="s">
        <v>37</v>
      </c>
      <c r="B64" s="2">
        <v>45717</v>
      </c>
      <c r="C64" t="s">
        <v>24</v>
      </c>
      <c r="D64" t="s">
        <v>18</v>
      </c>
      <c r="E64">
        <v>50343.19</v>
      </c>
      <c r="F64">
        <v>3845</v>
      </c>
      <c r="G64">
        <v>0.113</v>
      </c>
      <c r="H64">
        <v>9</v>
      </c>
      <c r="I64">
        <v>88.7</v>
      </c>
      <c r="J64">
        <v>5.15</v>
      </c>
      <c r="K64">
        <v>0</v>
      </c>
      <c r="L64">
        <v>3.3</v>
      </c>
      <c r="M64">
        <v>572011.19999999995</v>
      </c>
      <c r="N64">
        <v>101409.68</v>
      </c>
    </row>
    <row r="65" spans="1:14">
      <c r="A65" t="s">
        <v>37</v>
      </c>
      <c r="B65" s="2">
        <v>45748</v>
      </c>
      <c r="C65" t="s">
        <v>24</v>
      </c>
      <c r="D65" t="s">
        <v>18</v>
      </c>
      <c r="E65">
        <v>74954.47</v>
      </c>
      <c r="F65">
        <v>6620</v>
      </c>
      <c r="G65">
        <v>5.3999999999999999E-2</v>
      </c>
      <c r="H65">
        <v>17</v>
      </c>
      <c r="I65">
        <v>91.1</v>
      </c>
      <c r="J65">
        <v>1.1100000000000001</v>
      </c>
      <c r="K65">
        <v>0</v>
      </c>
      <c r="L65">
        <v>3.5</v>
      </c>
      <c r="M65">
        <v>761860.19</v>
      </c>
      <c r="N65">
        <v>133279.38</v>
      </c>
    </row>
    <row r="66" spans="1:14">
      <c r="A66" t="s">
        <v>38</v>
      </c>
      <c r="B66" s="2">
        <v>45658</v>
      </c>
      <c r="C66" t="s">
        <v>27</v>
      </c>
      <c r="D66" t="s">
        <v>18</v>
      </c>
      <c r="E66">
        <v>70040.31</v>
      </c>
      <c r="F66">
        <v>9175</v>
      </c>
      <c r="G66">
        <v>0.107</v>
      </c>
      <c r="H66">
        <v>23</v>
      </c>
      <c r="I66">
        <v>95.1</v>
      </c>
      <c r="J66">
        <v>6.08</v>
      </c>
      <c r="K66">
        <v>1</v>
      </c>
      <c r="L66">
        <v>3.4</v>
      </c>
      <c r="M66">
        <v>784502.68</v>
      </c>
      <c r="N66">
        <v>129519.72</v>
      </c>
    </row>
    <row r="67" spans="1:14">
      <c r="A67" t="s">
        <v>38</v>
      </c>
      <c r="B67" s="2">
        <v>45689</v>
      </c>
      <c r="C67" t="s">
        <v>27</v>
      </c>
      <c r="D67" t="s">
        <v>18</v>
      </c>
      <c r="E67">
        <v>51148.69</v>
      </c>
      <c r="F67">
        <v>7940</v>
      </c>
      <c r="G67">
        <v>0.156</v>
      </c>
      <c r="H67">
        <v>18</v>
      </c>
      <c r="I67">
        <v>93.3</v>
      </c>
      <c r="J67">
        <v>10.91</v>
      </c>
      <c r="K67">
        <v>0</v>
      </c>
      <c r="L67">
        <v>3.6</v>
      </c>
      <c r="M67">
        <v>717141.55</v>
      </c>
      <c r="N67">
        <v>134013.60999999999</v>
      </c>
    </row>
    <row r="68" spans="1:14">
      <c r="A68" t="s">
        <v>38</v>
      </c>
      <c r="B68" s="2">
        <v>45717</v>
      </c>
      <c r="C68" t="s">
        <v>27</v>
      </c>
      <c r="D68" t="s">
        <v>18</v>
      </c>
      <c r="E68">
        <v>79346.100000000006</v>
      </c>
      <c r="F68">
        <v>9628</v>
      </c>
      <c r="G68">
        <v>0.10199999999999999</v>
      </c>
      <c r="H68">
        <v>20</v>
      </c>
      <c r="I68">
        <v>99</v>
      </c>
      <c r="J68">
        <v>19.010000000000002</v>
      </c>
      <c r="K68">
        <v>1</v>
      </c>
      <c r="L68">
        <v>3.2</v>
      </c>
      <c r="M68">
        <v>685379.08</v>
      </c>
      <c r="N68">
        <v>106898.82</v>
      </c>
    </row>
    <row r="69" spans="1:14">
      <c r="A69" t="s">
        <v>38</v>
      </c>
      <c r="B69" s="2">
        <v>45748</v>
      </c>
      <c r="C69" t="s">
        <v>27</v>
      </c>
      <c r="D69" t="s">
        <v>18</v>
      </c>
      <c r="E69">
        <v>42018.400000000001</v>
      </c>
      <c r="F69">
        <v>8296</v>
      </c>
      <c r="G69">
        <v>0.115</v>
      </c>
      <c r="H69">
        <v>17</v>
      </c>
      <c r="I69">
        <v>91.8</v>
      </c>
      <c r="J69">
        <v>0.77</v>
      </c>
      <c r="K69">
        <v>0</v>
      </c>
      <c r="L69">
        <v>3.4</v>
      </c>
      <c r="M69">
        <v>740496.65</v>
      </c>
      <c r="N69">
        <v>128020.9</v>
      </c>
    </row>
    <row r="70" spans="1:14">
      <c r="A70" t="s">
        <v>39</v>
      </c>
      <c r="B70" s="2">
        <v>45658</v>
      </c>
      <c r="C70" t="s">
        <v>15</v>
      </c>
      <c r="D70" t="s">
        <v>18</v>
      </c>
      <c r="E70">
        <v>70937.240000000005</v>
      </c>
      <c r="F70">
        <v>3595</v>
      </c>
      <c r="G70">
        <v>0.14099999999999999</v>
      </c>
      <c r="H70">
        <v>11</v>
      </c>
      <c r="I70">
        <v>88.9</v>
      </c>
      <c r="J70">
        <v>2.83</v>
      </c>
      <c r="K70">
        <v>1</v>
      </c>
      <c r="L70">
        <v>3.3</v>
      </c>
      <c r="M70">
        <v>661927.14</v>
      </c>
      <c r="N70">
        <v>79218.570000000007</v>
      </c>
    </row>
    <row r="71" spans="1:14">
      <c r="A71" t="s">
        <v>39</v>
      </c>
      <c r="B71" s="2">
        <v>45689</v>
      </c>
      <c r="C71" t="s">
        <v>15</v>
      </c>
      <c r="D71" t="s">
        <v>18</v>
      </c>
      <c r="E71">
        <v>36813.449999999997</v>
      </c>
      <c r="F71">
        <v>2834</v>
      </c>
      <c r="G71">
        <v>0.191</v>
      </c>
      <c r="H71">
        <v>11</v>
      </c>
      <c r="I71">
        <v>81.8</v>
      </c>
      <c r="J71">
        <v>2.33</v>
      </c>
      <c r="K71">
        <v>0</v>
      </c>
      <c r="L71">
        <v>3.3</v>
      </c>
      <c r="M71">
        <v>479050.5</v>
      </c>
      <c r="N71">
        <v>53651.11</v>
      </c>
    </row>
    <row r="72" spans="1:14">
      <c r="A72" t="s">
        <v>39</v>
      </c>
      <c r="B72" s="2">
        <v>45717</v>
      </c>
      <c r="C72" t="s">
        <v>15</v>
      </c>
      <c r="D72" t="s">
        <v>18</v>
      </c>
      <c r="E72">
        <v>60571.82</v>
      </c>
      <c r="F72">
        <v>3193</v>
      </c>
      <c r="G72">
        <v>0.19700000000000001</v>
      </c>
      <c r="H72">
        <v>7</v>
      </c>
      <c r="I72">
        <v>99</v>
      </c>
      <c r="J72">
        <v>1.43</v>
      </c>
      <c r="K72">
        <v>0</v>
      </c>
      <c r="L72">
        <v>3.2</v>
      </c>
      <c r="M72">
        <v>605023.87</v>
      </c>
      <c r="N72">
        <v>98545.81</v>
      </c>
    </row>
    <row r="73" spans="1:14">
      <c r="A73" t="s">
        <v>39</v>
      </c>
      <c r="B73" s="2">
        <v>45748</v>
      </c>
      <c r="C73" t="s">
        <v>15</v>
      </c>
      <c r="D73" t="s">
        <v>18</v>
      </c>
      <c r="E73">
        <v>55081.16</v>
      </c>
      <c r="F73">
        <v>5485</v>
      </c>
      <c r="G73">
        <v>3.5999999999999997E-2</v>
      </c>
      <c r="H73">
        <v>12</v>
      </c>
      <c r="I73">
        <v>88</v>
      </c>
      <c r="K73">
        <v>0</v>
      </c>
      <c r="L73">
        <v>3.5</v>
      </c>
      <c r="M73">
        <v>674774.09</v>
      </c>
      <c r="N73">
        <v>141917.59</v>
      </c>
    </row>
    <row r="74" spans="1:14">
      <c r="A74" t="s">
        <v>40</v>
      </c>
      <c r="B74" s="2">
        <v>45658</v>
      </c>
      <c r="C74" t="s">
        <v>15</v>
      </c>
      <c r="D74" t="s">
        <v>16</v>
      </c>
      <c r="E74">
        <v>46201.46</v>
      </c>
      <c r="F74">
        <v>5918</v>
      </c>
      <c r="G74">
        <v>0.27700000000000002</v>
      </c>
      <c r="H74">
        <v>13</v>
      </c>
      <c r="I74">
        <v>78.8</v>
      </c>
      <c r="J74">
        <v>4.91</v>
      </c>
      <c r="K74">
        <v>0</v>
      </c>
      <c r="L74">
        <v>4.5</v>
      </c>
      <c r="M74">
        <v>616069.41</v>
      </c>
      <c r="N74">
        <v>54453.99</v>
      </c>
    </row>
    <row r="75" spans="1:14">
      <c r="A75" t="s">
        <v>40</v>
      </c>
      <c r="B75" s="2">
        <v>45689</v>
      </c>
      <c r="C75" t="s">
        <v>15</v>
      </c>
      <c r="D75" t="s">
        <v>16</v>
      </c>
      <c r="E75">
        <v>53762.92</v>
      </c>
      <c r="F75">
        <v>6821</v>
      </c>
      <c r="G75">
        <v>6.6000000000000003E-2</v>
      </c>
      <c r="H75">
        <v>19</v>
      </c>
      <c r="I75">
        <v>94.6</v>
      </c>
      <c r="J75">
        <v>7.03</v>
      </c>
      <c r="K75">
        <v>0</v>
      </c>
      <c r="L75">
        <v>4.4000000000000004</v>
      </c>
      <c r="M75">
        <v>630829.93999999994</v>
      </c>
      <c r="N75">
        <v>117090.02</v>
      </c>
    </row>
    <row r="76" spans="1:14">
      <c r="A76" t="s">
        <v>40</v>
      </c>
      <c r="B76" s="2">
        <v>45717</v>
      </c>
      <c r="C76" t="s">
        <v>15</v>
      </c>
      <c r="D76" t="s">
        <v>16</v>
      </c>
      <c r="E76">
        <v>70144.78</v>
      </c>
      <c r="F76">
        <v>6806</v>
      </c>
      <c r="G76">
        <v>0.17799999999999999</v>
      </c>
      <c r="H76">
        <v>20</v>
      </c>
      <c r="I76">
        <v>93.1</v>
      </c>
      <c r="J76">
        <v>0.28000000000000003</v>
      </c>
      <c r="K76">
        <v>1</v>
      </c>
      <c r="L76">
        <v>4.3</v>
      </c>
      <c r="M76">
        <v>788087.68</v>
      </c>
      <c r="N76">
        <v>116803.42</v>
      </c>
    </row>
    <row r="77" spans="1:14">
      <c r="A77" t="s">
        <v>40</v>
      </c>
      <c r="B77" s="2">
        <v>45748</v>
      </c>
      <c r="C77" t="s">
        <v>15</v>
      </c>
      <c r="D77" t="s">
        <v>16</v>
      </c>
      <c r="E77">
        <v>58749.63</v>
      </c>
      <c r="F77">
        <v>8252</v>
      </c>
      <c r="G77">
        <v>0.20300000000000001</v>
      </c>
      <c r="H77">
        <v>20</v>
      </c>
      <c r="I77">
        <v>85.2</v>
      </c>
      <c r="J77">
        <v>3.61</v>
      </c>
      <c r="K77">
        <v>0</v>
      </c>
      <c r="L77">
        <v>4.5</v>
      </c>
      <c r="M77">
        <v>680840.36</v>
      </c>
      <c r="N77">
        <v>68007.679999999993</v>
      </c>
    </row>
    <row r="78" spans="1:14">
      <c r="A78" t="s">
        <v>41</v>
      </c>
      <c r="B78" s="2">
        <v>45658</v>
      </c>
      <c r="C78" t="s">
        <v>24</v>
      </c>
      <c r="D78" t="s">
        <v>18</v>
      </c>
      <c r="E78">
        <v>56973.18</v>
      </c>
      <c r="F78">
        <v>6662</v>
      </c>
      <c r="G78">
        <v>0.1</v>
      </c>
      <c r="H78">
        <v>15</v>
      </c>
      <c r="I78">
        <v>77.7</v>
      </c>
      <c r="J78">
        <v>7.52</v>
      </c>
      <c r="K78">
        <v>1</v>
      </c>
      <c r="L78">
        <v>3.2</v>
      </c>
      <c r="M78">
        <v>643657.47</v>
      </c>
      <c r="N78">
        <v>87022.45</v>
      </c>
    </row>
    <row r="79" spans="1:14">
      <c r="A79" t="s">
        <v>41</v>
      </c>
      <c r="B79" s="2">
        <v>45689</v>
      </c>
      <c r="C79" t="s">
        <v>24</v>
      </c>
      <c r="D79" t="s">
        <v>18</v>
      </c>
      <c r="E79">
        <v>54872.82</v>
      </c>
      <c r="F79">
        <v>5962</v>
      </c>
      <c r="G79">
        <v>6.4000000000000001E-2</v>
      </c>
      <c r="H79">
        <v>12</v>
      </c>
      <c r="I79">
        <v>85.4</v>
      </c>
      <c r="J79">
        <v>2.58</v>
      </c>
      <c r="K79">
        <v>0</v>
      </c>
      <c r="L79">
        <v>2.9</v>
      </c>
      <c r="M79">
        <v>691112.6</v>
      </c>
      <c r="N79">
        <v>109212.83</v>
      </c>
    </row>
    <row r="80" spans="1:14">
      <c r="A80" t="s">
        <v>41</v>
      </c>
      <c r="B80" s="2">
        <v>45717</v>
      </c>
      <c r="C80" t="s">
        <v>24</v>
      </c>
      <c r="D80" t="s">
        <v>18</v>
      </c>
      <c r="E80">
        <v>80562.81</v>
      </c>
      <c r="F80">
        <v>7470</v>
      </c>
      <c r="G80">
        <v>0.17199999999999999</v>
      </c>
      <c r="H80">
        <v>16</v>
      </c>
      <c r="I80">
        <v>83.5</v>
      </c>
      <c r="J80">
        <v>2.29</v>
      </c>
      <c r="K80">
        <v>0</v>
      </c>
      <c r="L80">
        <v>3.3</v>
      </c>
      <c r="M80">
        <v>776922.17</v>
      </c>
      <c r="N80">
        <v>150701.93</v>
      </c>
    </row>
    <row r="81" spans="1:14">
      <c r="A81" t="s">
        <v>41</v>
      </c>
      <c r="B81" s="2">
        <v>45748</v>
      </c>
      <c r="C81" t="s">
        <v>24</v>
      </c>
      <c r="D81" t="s">
        <v>18</v>
      </c>
      <c r="E81">
        <v>77999.899999999994</v>
      </c>
      <c r="F81">
        <v>5974</v>
      </c>
      <c r="G81">
        <v>0.252</v>
      </c>
      <c r="H81">
        <v>14</v>
      </c>
      <c r="I81">
        <v>81.3</v>
      </c>
      <c r="J81">
        <v>2.39</v>
      </c>
      <c r="K81">
        <v>0</v>
      </c>
      <c r="L81">
        <v>3.2</v>
      </c>
      <c r="M81">
        <v>636561.34</v>
      </c>
      <c r="N81">
        <v>93861.06</v>
      </c>
    </row>
    <row r="82" spans="1:14">
      <c r="A82" t="s">
        <v>42</v>
      </c>
      <c r="B82" s="2">
        <v>45658</v>
      </c>
      <c r="C82" t="s">
        <v>27</v>
      </c>
      <c r="D82" t="s">
        <v>28</v>
      </c>
      <c r="E82">
        <v>60881.01</v>
      </c>
      <c r="F82">
        <v>5410</v>
      </c>
      <c r="G82">
        <v>0.17899999999999999</v>
      </c>
      <c r="H82">
        <v>15</v>
      </c>
      <c r="I82">
        <v>83.9</v>
      </c>
      <c r="J82">
        <v>5.24</v>
      </c>
      <c r="K82">
        <v>0</v>
      </c>
      <c r="L82">
        <v>4.5999999999999996</v>
      </c>
      <c r="M82">
        <v>621369.57999999996</v>
      </c>
      <c r="N82">
        <v>85493.64</v>
      </c>
    </row>
    <row r="83" spans="1:14">
      <c r="A83" t="s">
        <v>42</v>
      </c>
      <c r="B83" s="2">
        <v>45689</v>
      </c>
      <c r="C83" t="s">
        <v>27</v>
      </c>
      <c r="D83" t="s">
        <v>28</v>
      </c>
      <c r="E83">
        <v>60628.38</v>
      </c>
      <c r="F83">
        <v>4451</v>
      </c>
      <c r="G83">
        <v>9.5000000000000001E-2</v>
      </c>
      <c r="H83">
        <v>10</v>
      </c>
      <c r="I83">
        <v>89.6</v>
      </c>
      <c r="J83">
        <v>3.17</v>
      </c>
      <c r="K83">
        <v>0</v>
      </c>
      <c r="L83">
        <v>4.5999999999999996</v>
      </c>
      <c r="M83">
        <v>682208.01</v>
      </c>
      <c r="N83">
        <v>110318.84</v>
      </c>
    </row>
    <row r="84" spans="1:14">
      <c r="A84" t="s">
        <v>42</v>
      </c>
      <c r="B84" s="2">
        <v>45717</v>
      </c>
      <c r="C84" t="s">
        <v>27</v>
      </c>
      <c r="D84" t="s">
        <v>28</v>
      </c>
      <c r="E84">
        <v>72731.14</v>
      </c>
      <c r="F84">
        <v>4644</v>
      </c>
      <c r="G84">
        <v>8.4000000000000005E-2</v>
      </c>
      <c r="H84">
        <v>15</v>
      </c>
      <c r="I84">
        <v>87.1</v>
      </c>
      <c r="J84">
        <v>2.66</v>
      </c>
      <c r="K84">
        <v>0</v>
      </c>
      <c r="L84">
        <v>4.5999999999999996</v>
      </c>
      <c r="M84">
        <v>727241.86</v>
      </c>
      <c r="N84">
        <v>155810.29999999999</v>
      </c>
    </row>
    <row r="85" spans="1:14">
      <c r="A85" t="s">
        <v>42</v>
      </c>
      <c r="B85" s="2">
        <v>45748</v>
      </c>
      <c r="C85" t="s">
        <v>27</v>
      </c>
      <c r="D85" t="s">
        <v>28</v>
      </c>
      <c r="E85">
        <v>36475.71</v>
      </c>
      <c r="F85">
        <v>3559</v>
      </c>
      <c r="G85">
        <v>0.03</v>
      </c>
      <c r="H85">
        <v>8</v>
      </c>
      <c r="I85">
        <v>83.6</v>
      </c>
      <c r="J85">
        <v>1.41</v>
      </c>
      <c r="K85">
        <v>0</v>
      </c>
      <c r="L85">
        <v>4.2</v>
      </c>
      <c r="M85">
        <v>569100.78</v>
      </c>
      <c r="N85">
        <v>104808.78</v>
      </c>
    </row>
    <row r="86" spans="1:14">
      <c r="A86" t="s">
        <v>43</v>
      </c>
      <c r="B86" s="2">
        <v>45658</v>
      </c>
      <c r="C86" t="s">
        <v>27</v>
      </c>
      <c r="D86" t="s">
        <v>18</v>
      </c>
      <c r="E86">
        <v>55388.11</v>
      </c>
      <c r="F86">
        <v>3091</v>
      </c>
      <c r="G86">
        <v>0.108</v>
      </c>
      <c r="H86">
        <v>7</v>
      </c>
      <c r="I86">
        <v>85.4</v>
      </c>
      <c r="J86">
        <v>7.34</v>
      </c>
      <c r="K86">
        <v>0</v>
      </c>
      <c r="L86">
        <v>4.9000000000000004</v>
      </c>
      <c r="M86">
        <v>574436.29</v>
      </c>
      <c r="N86">
        <v>80271.990000000005</v>
      </c>
    </row>
    <row r="87" spans="1:14">
      <c r="A87" t="s">
        <v>43</v>
      </c>
      <c r="B87" s="2">
        <v>45689</v>
      </c>
      <c r="C87" t="s">
        <v>27</v>
      </c>
      <c r="D87" t="s">
        <v>18</v>
      </c>
      <c r="E87">
        <v>88443.77</v>
      </c>
      <c r="F87">
        <v>4004</v>
      </c>
      <c r="G87">
        <v>0.20599999999999999</v>
      </c>
      <c r="H87">
        <v>11</v>
      </c>
      <c r="I87">
        <v>91.9</v>
      </c>
      <c r="J87">
        <v>5.95</v>
      </c>
      <c r="K87">
        <v>0</v>
      </c>
      <c r="M87">
        <v>611766.72</v>
      </c>
      <c r="N87">
        <v>88275.61</v>
      </c>
    </row>
    <row r="88" spans="1:14">
      <c r="A88" t="s">
        <v>43</v>
      </c>
      <c r="B88" s="2">
        <v>45717</v>
      </c>
      <c r="C88" t="s">
        <v>27</v>
      </c>
      <c r="D88" t="s">
        <v>18</v>
      </c>
      <c r="E88">
        <v>78231.91</v>
      </c>
      <c r="F88">
        <v>3788</v>
      </c>
      <c r="G88">
        <v>5.8999999999999997E-2</v>
      </c>
      <c r="H88">
        <v>11</v>
      </c>
      <c r="I88">
        <v>88.5</v>
      </c>
      <c r="J88">
        <v>15.51</v>
      </c>
      <c r="K88">
        <v>0</v>
      </c>
      <c r="L88">
        <v>4.3</v>
      </c>
      <c r="M88">
        <v>614596.31999999995</v>
      </c>
      <c r="N88">
        <v>131199.41</v>
      </c>
    </row>
    <row r="89" spans="1:14">
      <c r="A89" t="s">
        <v>43</v>
      </c>
      <c r="B89" s="2">
        <v>45748</v>
      </c>
      <c r="C89" t="s">
        <v>27</v>
      </c>
      <c r="D89" t="s">
        <v>18</v>
      </c>
      <c r="E89">
        <v>18996.32</v>
      </c>
      <c r="F89">
        <v>1260</v>
      </c>
      <c r="G89">
        <v>0.14499999999999999</v>
      </c>
      <c r="H89">
        <v>9</v>
      </c>
      <c r="I89">
        <v>86.4</v>
      </c>
      <c r="J89">
        <v>4.3099999999999996</v>
      </c>
      <c r="K89">
        <v>0</v>
      </c>
      <c r="L89">
        <v>4.5999999999999996</v>
      </c>
      <c r="M89">
        <v>450711.92</v>
      </c>
      <c r="N89">
        <v>90043.76</v>
      </c>
    </row>
    <row r="90" spans="1:14">
      <c r="A90" t="s">
        <v>44</v>
      </c>
      <c r="B90" s="2">
        <v>45658</v>
      </c>
      <c r="C90" t="s">
        <v>24</v>
      </c>
      <c r="D90" t="s">
        <v>28</v>
      </c>
      <c r="E90">
        <v>50517.94</v>
      </c>
      <c r="F90">
        <v>7024</v>
      </c>
      <c r="G90">
        <v>2.9000000000000001E-2</v>
      </c>
      <c r="H90">
        <v>18</v>
      </c>
      <c r="I90">
        <v>79.2</v>
      </c>
      <c r="J90">
        <v>6.61</v>
      </c>
      <c r="K90">
        <v>1</v>
      </c>
      <c r="L90">
        <v>4.0999999999999996</v>
      </c>
      <c r="M90">
        <v>711213.46</v>
      </c>
      <c r="N90">
        <v>105863.26</v>
      </c>
    </row>
    <row r="91" spans="1:14">
      <c r="A91" t="s">
        <v>44</v>
      </c>
      <c r="B91" s="2">
        <v>45689</v>
      </c>
      <c r="C91" t="s">
        <v>24</v>
      </c>
      <c r="D91" t="s">
        <v>28</v>
      </c>
      <c r="E91">
        <v>141540.29</v>
      </c>
      <c r="F91">
        <v>5400</v>
      </c>
      <c r="G91">
        <v>1.2999999999999999E-2</v>
      </c>
      <c r="H91">
        <v>12</v>
      </c>
      <c r="I91">
        <v>87</v>
      </c>
      <c r="J91">
        <v>4.26</v>
      </c>
      <c r="K91">
        <v>0</v>
      </c>
      <c r="L91">
        <v>4.5</v>
      </c>
      <c r="M91">
        <v>627171.9</v>
      </c>
      <c r="N91">
        <v>105772.75</v>
      </c>
    </row>
    <row r="92" spans="1:14">
      <c r="A92" t="s">
        <v>44</v>
      </c>
      <c r="B92" s="2">
        <v>45717</v>
      </c>
      <c r="C92" t="s">
        <v>24</v>
      </c>
      <c r="D92" t="s">
        <v>28</v>
      </c>
      <c r="E92">
        <v>82116.19</v>
      </c>
      <c r="F92">
        <v>5988</v>
      </c>
      <c r="G92">
        <v>0.04</v>
      </c>
      <c r="H92">
        <v>17</v>
      </c>
      <c r="I92">
        <v>91.8</v>
      </c>
      <c r="J92">
        <v>5.75</v>
      </c>
      <c r="K92">
        <v>0</v>
      </c>
      <c r="L92">
        <v>4.7</v>
      </c>
      <c r="M92">
        <v>739852.58</v>
      </c>
      <c r="N92">
        <v>129386.43</v>
      </c>
    </row>
    <row r="93" spans="1:14">
      <c r="A93" t="s">
        <v>44</v>
      </c>
      <c r="B93" s="2">
        <v>45748</v>
      </c>
      <c r="C93" t="s">
        <v>24</v>
      </c>
      <c r="D93" t="s">
        <v>28</v>
      </c>
      <c r="E93">
        <v>31207.51</v>
      </c>
      <c r="F93">
        <v>3701</v>
      </c>
      <c r="G93">
        <v>4.2999999999999997E-2</v>
      </c>
      <c r="H93">
        <v>11</v>
      </c>
      <c r="I93">
        <v>84.7</v>
      </c>
      <c r="J93">
        <v>0.33</v>
      </c>
      <c r="K93">
        <v>0</v>
      </c>
      <c r="L93">
        <v>4.3</v>
      </c>
      <c r="M93">
        <v>586307.22</v>
      </c>
      <c r="N93">
        <v>73927.850000000006</v>
      </c>
    </row>
    <row r="94" spans="1:14">
      <c r="A94" t="s">
        <v>45</v>
      </c>
      <c r="B94" s="2">
        <v>45658</v>
      </c>
      <c r="C94" t="s">
        <v>27</v>
      </c>
      <c r="D94" t="s">
        <v>16</v>
      </c>
      <c r="E94">
        <v>38966.589999999997</v>
      </c>
      <c r="F94">
        <v>4509</v>
      </c>
      <c r="G94">
        <v>0.19400000000000001</v>
      </c>
      <c r="H94">
        <v>14</v>
      </c>
      <c r="I94">
        <v>91.1</v>
      </c>
      <c r="J94">
        <v>2.92</v>
      </c>
      <c r="K94">
        <v>0</v>
      </c>
      <c r="L94">
        <v>4.5999999999999996</v>
      </c>
      <c r="M94">
        <v>585937.48</v>
      </c>
      <c r="N94">
        <v>82624.2</v>
      </c>
    </row>
    <row r="95" spans="1:14">
      <c r="A95" t="s">
        <v>45</v>
      </c>
      <c r="B95" s="2">
        <v>45689</v>
      </c>
      <c r="C95" t="s">
        <v>27</v>
      </c>
      <c r="D95" t="s">
        <v>16</v>
      </c>
      <c r="E95">
        <v>67439.3</v>
      </c>
      <c r="F95">
        <v>6477</v>
      </c>
      <c r="G95">
        <v>0</v>
      </c>
      <c r="H95">
        <v>16</v>
      </c>
      <c r="I95">
        <v>90.9</v>
      </c>
      <c r="J95">
        <v>1.64</v>
      </c>
      <c r="K95">
        <v>0</v>
      </c>
      <c r="L95">
        <v>4.5</v>
      </c>
      <c r="M95">
        <v>753473.55</v>
      </c>
      <c r="N95">
        <v>151527.22</v>
      </c>
    </row>
    <row r="96" spans="1:14">
      <c r="A96" t="s">
        <v>45</v>
      </c>
      <c r="B96" s="2">
        <v>45717</v>
      </c>
      <c r="C96" t="s">
        <v>27</v>
      </c>
      <c r="D96" t="s">
        <v>16</v>
      </c>
      <c r="E96">
        <v>86421.88</v>
      </c>
      <c r="F96">
        <v>7970</v>
      </c>
      <c r="G96">
        <v>7.2999999999999995E-2</v>
      </c>
      <c r="H96">
        <v>17</v>
      </c>
      <c r="I96">
        <v>91.3</v>
      </c>
      <c r="J96">
        <v>0.8</v>
      </c>
      <c r="K96">
        <v>0</v>
      </c>
      <c r="L96">
        <v>5</v>
      </c>
      <c r="M96">
        <v>838250.32</v>
      </c>
      <c r="N96">
        <v>122939.34</v>
      </c>
    </row>
    <row r="97" spans="1:14">
      <c r="A97" t="s">
        <v>45</v>
      </c>
      <c r="B97" s="2">
        <v>45748</v>
      </c>
      <c r="C97" t="s">
        <v>27</v>
      </c>
      <c r="D97" t="s">
        <v>16</v>
      </c>
      <c r="E97">
        <v>9534.65</v>
      </c>
      <c r="F97">
        <v>6057</v>
      </c>
      <c r="G97">
        <v>7.3999999999999996E-2</v>
      </c>
      <c r="H97">
        <v>15</v>
      </c>
      <c r="I97">
        <v>94.1</v>
      </c>
      <c r="J97">
        <v>5.79</v>
      </c>
      <c r="K97">
        <v>0</v>
      </c>
      <c r="L97">
        <v>4.5</v>
      </c>
      <c r="M97">
        <v>607898.12</v>
      </c>
      <c r="N97">
        <v>135404.85</v>
      </c>
    </row>
    <row r="98" spans="1:14">
      <c r="A98" t="s">
        <v>46</v>
      </c>
      <c r="B98" s="2">
        <v>45658</v>
      </c>
      <c r="C98" t="s">
        <v>27</v>
      </c>
      <c r="D98" t="s">
        <v>28</v>
      </c>
      <c r="E98">
        <v>61132.07</v>
      </c>
      <c r="F98">
        <v>6394</v>
      </c>
      <c r="G98">
        <v>0.16300000000000001</v>
      </c>
      <c r="H98">
        <v>19</v>
      </c>
      <c r="I98">
        <v>91</v>
      </c>
      <c r="J98">
        <v>19.600000000000001</v>
      </c>
      <c r="K98">
        <v>0</v>
      </c>
      <c r="L98">
        <v>4.4000000000000004</v>
      </c>
      <c r="M98">
        <v>691113.62</v>
      </c>
      <c r="N98">
        <v>135145.44</v>
      </c>
    </row>
    <row r="99" spans="1:14">
      <c r="A99" t="s">
        <v>46</v>
      </c>
      <c r="B99" s="2">
        <v>45689</v>
      </c>
      <c r="C99" t="s">
        <v>27</v>
      </c>
      <c r="D99" t="s">
        <v>28</v>
      </c>
      <c r="E99">
        <v>78839.39</v>
      </c>
      <c r="F99">
        <v>5150</v>
      </c>
      <c r="G99">
        <v>0.17100000000000001</v>
      </c>
      <c r="H99">
        <v>13</v>
      </c>
      <c r="I99">
        <v>85.8</v>
      </c>
      <c r="J99">
        <v>7.57</v>
      </c>
      <c r="K99">
        <v>0</v>
      </c>
      <c r="L99">
        <v>4.3</v>
      </c>
      <c r="M99">
        <v>735509.4</v>
      </c>
      <c r="N99">
        <v>83895.96</v>
      </c>
    </row>
    <row r="100" spans="1:14">
      <c r="A100" t="s">
        <v>46</v>
      </c>
      <c r="B100" s="2">
        <v>45717</v>
      </c>
      <c r="C100" t="s">
        <v>27</v>
      </c>
      <c r="D100" t="s">
        <v>28</v>
      </c>
      <c r="E100">
        <v>38752.800000000003</v>
      </c>
      <c r="F100">
        <v>4712</v>
      </c>
      <c r="G100">
        <v>7.4999999999999997E-2</v>
      </c>
      <c r="H100">
        <v>15</v>
      </c>
      <c r="I100">
        <v>89.7</v>
      </c>
      <c r="K100">
        <v>0</v>
      </c>
      <c r="L100">
        <v>4.3</v>
      </c>
      <c r="M100">
        <v>605775.32999999996</v>
      </c>
      <c r="N100">
        <v>107194.6</v>
      </c>
    </row>
    <row r="101" spans="1:14">
      <c r="A101" t="s">
        <v>46</v>
      </c>
      <c r="B101" s="2">
        <v>45748</v>
      </c>
      <c r="C101" t="s">
        <v>27</v>
      </c>
      <c r="D101" t="s">
        <v>28</v>
      </c>
      <c r="E101">
        <v>55101.1</v>
      </c>
      <c r="F101">
        <v>5281</v>
      </c>
      <c r="G101">
        <v>0.189</v>
      </c>
      <c r="H101">
        <v>11</v>
      </c>
      <c r="I101">
        <v>91</v>
      </c>
      <c r="J101">
        <v>2.7</v>
      </c>
      <c r="K101">
        <v>0</v>
      </c>
      <c r="L101">
        <v>4.4000000000000004</v>
      </c>
      <c r="M101">
        <v>675177.68</v>
      </c>
      <c r="N101">
        <v>105628.68</v>
      </c>
    </row>
    <row r="102" spans="1:14">
      <c r="A102" t="s">
        <v>47</v>
      </c>
      <c r="B102" s="2">
        <v>45658</v>
      </c>
      <c r="C102" t="s">
        <v>15</v>
      </c>
      <c r="D102" t="s">
        <v>28</v>
      </c>
      <c r="E102">
        <v>53084.76</v>
      </c>
      <c r="F102">
        <v>3642</v>
      </c>
      <c r="G102">
        <v>0.15</v>
      </c>
      <c r="H102">
        <v>12</v>
      </c>
      <c r="I102">
        <v>91.4</v>
      </c>
      <c r="J102">
        <v>0.2</v>
      </c>
      <c r="K102">
        <v>0</v>
      </c>
      <c r="L102">
        <v>4.4000000000000004</v>
      </c>
      <c r="M102">
        <v>635181.35</v>
      </c>
      <c r="N102">
        <v>83341.25</v>
      </c>
    </row>
    <row r="103" spans="1:14">
      <c r="A103" t="s">
        <v>47</v>
      </c>
      <c r="B103" s="2">
        <v>45689</v>
      </c>
      <c r="C103" t="s">
        <v>15</v>
      </c>
      <c r="D103" t="s">
        <v>28</v>
      </c>
      <c r="E103">
        <v>63101.59</v>
      </c>
      <c r="F103">
        <v>4373</v>
      </c>
      <c r="G103">
        <v>0.17299999999999999</v>
      </c>
      <c r="H103">
        <v>14</v>
      </c>
      <c r="I103">
        <v>90.4</v>
      </c>
      <c r="J103">
        <v>7.87</v>
      </c>
      <c r="K103">
        <v>0</v>
      </c>
      <c r="L103">
        <v>4.7</v>
      </c>
      <c r="M103">
        <v>586626.93999999994</v>
      </c>
      <c r="N103">
        <v>86498.55</v>
      </c>
    </row>
    <row r="104" spans="1:14">
      <c r="A104" t="s">
        <v>47</v>
      </c>
      <c r="B104" s="2">
        <v>45717</v>
      </c>
      <c r="C104" t="s">
        <v>15</v>
      </c>
      <c r="D104" t="s">
        <v>28</v>
      </c>
      <c r="E104">
        <v>90084.4</v>
      </c>
      <c r="F104">
        <v>6832</v>
      </c>
      <c r="G104">
        <v>0.185</v>
      </c>
      <c r="H104">
        <v>14</v>
      </c>
      <c r="I104">
        <v>80.5</v>
      </c>
      <c r="J104">
        <v>0.77</v>
      </c>
      <c r="K104">
        <v>1</v>
      </c>
      <c r="L104">
        <v>4.4000000000000004</v>
      </c>
      <c r="M104">
        <v>740102.64</v>
      </c>
      <c r="N104">
        <v>114299.07</v>
      </c>
    </row>
    <row r="105" spans="1:14">
      <c r="A105" t="s">
        <v>47</v>
      </c>
      <c r="B105" s="2">
        <v>45748</v>
      </c>
      <c r="C105" t="s">
        <v>15</v>
      </c>
      <c r="D105" t="s">
        <v>28</v>
      </c>
      <c r="E105">
        <v>32266.639999999999</v>
      </c>
      <c r="F105">
        <v>2414</v>
      </c>
      <c r="G105">
        <v>0.08</v>
      </c>
      <c r="H105">
        <v>7</v>
      </c>
      <c r="I105">
        <v>92.1</v>
      </c>
      <c r="J105">
        <v>1.48</v>
      </c>
      <c r="K105">
        <v>0</v>
      </c>
      <c r="L105">
        <v>5</v>
      </c>
      <c r="M105">
        <v>625514.04</v>
      </c>
      <c r="N105">
        <v>120685.08</v>
      </c>
    </row>
    <row r="106" spans="1:14">
      <c r="A106" t="s">
        <v>48</v>
      </c>
      <c r="B106" s="2">
        <v>45658</v>
      </c>
      <c r="C106" t="s">
        <v>27</v>
      </c>
      <c r="D106" t="s">
        <v>18</v>
      </c>
      <c r="E106">
        <v>57919.07</v>
      </c>
      <c r="F106">
        <v>7374</v>
      </c>
      <c r="G106">
        <v>0.10299999999999999</v>
      </c>
      <c r="H106">
        <v>21</v>
      </c>
      <c r="I106">
        <v>82.3</v>
      </c>
      <c r="J106">
        <v>2.87</v>
      </c>
      <c r="K106">
        <v>0</v>
      </c>
      <c r="L106">
        <v>2.9</v>
      </c>
      <c r="M106">
        <v>727227.2</v>
      </c>
      <c r="N106">
        <v>121292.01</v>
      </c>
    </row>
    <row r="107" spans="1:14">
      <c r="A107" t="s">
        <v>48</v>
      </c>
      <c r="B107" s="2">
        <v>45689</v>
      </c>
      <c r="C107" t="s">
        <v>27</v>
      </c>
      <c r="D107" t="s">
        <v>18</v>
      </c>
      <c r="E107">
        <v>74679.350000000006</v>
      </c>
      <c r="F107">
        <v>8739</v>
      </c>
      <c r="G107">
        <v>5.6000000000000001E-2</v>
      </c>
      <c r="H107">
        <v>21</v>
      </c>
      <c r="I107">
        <v>91.8</v>
      </c>
      <c r="J107">
        <v>2.83</v>
      </c>
      <c r="K107">
        <v>0</v>
      </c>
      <c r="L107">
        <v>3</v>
      </c>
      <c r="M107">
        <v>783797.89</v>
      </c>
      <c r="N107">
        <v>157620.70000000001</v>
      </c>
    </row>
    <row r="108" spans="1:14">
      <c r="A108" t="s">
        <v>48</v>
      </c>
      <c r="B108" s="2">
        <v>45717</v>
      </c>
      <c r="C108" t="s">
        <v>27</v>
      </c>
      <c r="D108" t="s">
        <v>18</v>
      </c>
      <c r="E108">
        <v>64294.23</v>
      </c>
      <c r="F108">
        <v>6992</v>
      </c>
      <c r="G108">
        <v>0.13300000000000001</v>
      </c>
      <c r="H108">
        <v>14</v>
      </c>
      <c r="I108">
        <v>94.1</v>
      </c>
      <c r="J108">
        <v>0.25</v>
      </c>
      <c r="K108">
        <v>0</v>
      </c>
      <c r="L108">
        <v>3</v>
      </c>
      <c r="M108">
        <v>795153.84</v>
      </c>
      <c r="N108">
        <v>143194.21</v>
      </c>
    </row>
    <row r="109" spans="1:14">
      <c r="A109" t="s">
        <v>48</v>
      </c>
      <c r="B109" s="2">
        <v>45748</v>
      </c>
      <c r="C109" t="s">
        <v>27</v>
      </c>
      <c r="D109" t="s">
        <v>18</v>
      </c>
      <c r="E109">
        <v>31042.03</v>
      </c>
      <c r="F109">
        <v>7107</v>
      </c>
      <c r="G109">
        <v>5.0999999999999997E-2</v>
      </c>
      <c r="H109">
        <v>15</v>
      </c>
      <c r="I109">
        <v>87</v>
      </c>
      <c r="J109">
        <v>13.33</v>
      </c>
      <c r="K109">
        <v>0</v>
      </c>
      <c r="L109">
        <v>3.2</v>
      </c>
      <c r="M109">
        <v>665594.93999999994</v>
      </c>
      <c r="N109">
        <v>127597.34</v>
      </c>
    </row>
    <row r="110" spans="1:14">
      <c r="A110" t="s">
        <v>49</v>
      </c>
      <c r="B110" s="2">
        <v>45658</v>
      </c>
      <c r="C110" t="s">
        <v>15</v>
      </c>
      <c r="D110" t="s">
        <v>28</v>
      </c>
      <c r="E110">
        <v>75265.02</v>
      </c>
      <c r="F110">
        <v>6975</v>
      </c>
      <c r="G110">
        <v>0.157</v>
      </c>
      <c r="H110">
        <v>20</v>
      </c>
      <c r="I110">
        <v>73.8</v>
      </c>
      <c r="J110">
        <v>6.35</v>
      </c>
      <c r="K110">
        <v>1</v>
      </c>
      <c r="L110">
        <v>3.8</v>
      </c>
      <c r="M110">
        <v>709478.39</v>
      </c>
      <c r="N110">
        <v>71294.27</v>
      </c>
    </row>
    <row r="111" spans="1:14">
      <c r="A111" t="s">
        <v>49</v>
      </c>
      <c r="B111" s="2">
        <v>45689</v>
      </c>
      <c r="C111" t="s">
        <v>15</v>
      </c>
      <c r="D111" t="s">
        <v>28</v>
      </c>
      <c r="E111">
        <v>69411.7</v>
      </c>
      <c r="F111">
        <v>5493</v>
      </c>
      <c r="G111">
        <v>0.29199999999999998</v>
      </c>
      <c r="H111">
        <v>13</v>
      </c>
      <c r="I111">
        <v>86.5</v>
      </c>
      <c r="J111">
        <v>6.69</v>
      </c>
      <c r="K111">
        <v>0</v>
      </c>
      <c r="L111">
        <v>3.8</v>
      </c>
      <c r="M111">
        <v>664162.49</v>
      </c>
      <c r="N111">
        <v>98291.06</v>
      </c>
    </row>
    <row r="112" spans="1:14">
      <c r="A112" t="s">
        <v>49</v>
      </c>
      <c r="B112" s="2">
        <v>45717</v>
      </c>
      <c r="C112" t="s">
        <v>15</v>
      </c>
      <c r="D112" t="s">
        <v>28</v>
      </c>
      <c r="E112">
        <v>51056.15</v>
      </c>
      <c r="F112">
        <v>5686</v>
      </c>
      <c r="G112">
        <v>8.8999999999999996E-2</v>
      </c>
      <c r="H112">
        <v>13</v>
      </c>
      <c r="I112">
        <v>89.9</v>
      </c>
      <c r="J112">
        <v>1.28</v>
      </c>
      <c r="K112">
        <v>0</v>
      </c>
      <c r="L112">
        <v>4.2</v>
      </c>
      <c r="M112">
        <v>633494.21</v>
      </c>
      <c r="N112">
        <v>105739.47</v>
      </c>
    </row>
    <row r="113" spans="1:14">
      <c r="A113" t="s">
        <v>49</v>
      </c>
      <c r="B113" s="2">
        <v>45748</v>
      </c>
      <c r="C113" t="s">
        <v>15</v>
      </c>
      <c r="D113" t="s">
        <v>28</v>
      </c>
      <c r="E113">
        <v>52758.01</v>
      </c>
      <c r="F113">
        <v>4063</v>
      </c>
      <c r="G113">
        <v>5.7000000000000002E-2</v>
      </c>
      <c r="H113">
        <v>12</v>
      </c>
      <c r="I113">
        <v>91.7</v>
      </c>
      <c r="J113">
        <v>0.92</v>
      </c>
      <c r="K113">
        <v>0</v>
      </c>
      <c r="L113">
        <v>3.5</v>
      </c>
      <c r="M113">
        <v>713611.16</v>
      </c>
      <c r="N113">
        <v>129717.18</v>
      </c>
    </row>
    <row r="114" spans="1:14">
      <c r="A114" t="s">
        <v>50</v>
      </c>
      <c r="B114" s="2">
        <v>45658</v>
      </c>
      <c r="C114" t="s">
        <v>27</v>
      </c>
      <c r="D114" t="s">
        <v>28</v>
      </c>
      <c r="E114">
        <v>61426.04</v>
      </c>
      <c r="F114">
        <v>8966</v>
      </c>
      <c r="G114">
        <v>0.17299999999999999</v>
      </c>
      <c r="H114">
        <v>22</v>
      </c>
      <c r="I114">
        <v>76.400000000000006</v>
      </c>
      <c r="J114">
        <v>1.05</v>
      </c>
      <c r="K114">
        <v>0</v>
      </c>
      <c r="L114">
        <v>3.1</v>
      </c>
      <c r="M114">
        <v>778397.97</v>
      </c>
      <c r="N114">
        <v>120044.41</v>
      </c>
    </row>
    <row r="115" spans="1:14">
      <c r="A115" t="s">
        <v>50</v>
      </c>
      <c r="B115" s="2">
        <v>45689</v>
      </c>
      <c r="C115" t="s">
        <v>27</v>
      </c>
      <c r="D115" t="s">
        <v>28</v>
      </c>
      <c r="E115">
        <v>80176.34</v>
      </c>
      <c r="F115">
        <v>9489</v>
      </c>
      <c r="G115">
        <v>0.14199999999999999</v>
      </c>
      <c r="H115">
        <v>22</v>
      </c>
      <c r="I115">
        <v>94.3</v>
      </c>
      <c r="J115">
        <v>2.67</v>
      </c>
      <c r="K115">
        <v>0</v>
      </c>
      <c r="L115">
        <v>3.5</v>
      </c>
      <c r="M115">
        <v>873380.02</v>
      </c>
      <c r="N115">
        <v>149734.76</v>
      </c>
    </row>
    <row r="116" spans="1:14">
      <c r="A116" t="s">
        <v>50</v>
      </c>
      <c r="B116" s="2">
        <v>45717</v>
      </c>
      <c r="C116" t="s">
        <v>27</v>
      </c>
      <c r="D116" t="s">
        <v>28</v>
      </c>
      <c r="E116">
        <v>33605.18</v>
      </c>
      <c r="F116">
        <v>9225</v>
      </c>
      <c r="G116">
        <v>0.159</v>
      </c>
      <c r="H116">
        <v>23</v>
      </c>
      <c r="I116">
        <v>88.4</v>
      </c>
      <c r="J116">
        <v>5.91</v>
      </c>
      <c r="K116">
        <v>0</v>
      </c>
      <c r="L116">
        <v>2.8</v>
      </c>
      <c r="M116">
        <v>697287.9</v>
      </c>
      <c r="N116">
        <v>128208.33</v>
      </c>
    </row>
    <row r="117" spans="1:14">
      <c r="A117" t="s">
        <v>50</v>
      </c>
      <c r="B117" s="2">
        <v>45748</v>
      </c>
      <c r="C117" t="s">
        <v>27</v>
      </c>
      <c r="D117" t="s">
        <v>28</v>
      </c>
      <c r="E117">
        <v>25990.54</v>
      </c>
      <c r="F117">
        <v>9249</v>
      </c>
      <c r="G117">
        <v>0.13900000000000001</v>
      </c>
      <c r="H117">
        <v>23</v>
      </c>
      <c r="I117">
        <v>92.5</v>
      </c>
      <c r="J117">
        <v>6.37</v>
      </c>
      <c r="K117">
        <v>0</v>
      </c>
      <c r="L117">
        <v>3.3</v>
      </c>
      <c r="M117">
        <v>718074.79</v>
      </c>
      <c r="N117">
        <v>115819.87</v>
      </c>
    </row>
    <row r="118" spans="1:14">
      <c r="A118" t="s">
        <v>51</v>
      </c>
      <c r="B118" s="2">
        <v>45658</v>
      </c>
      <c r="C118" t="s">
        <v>27</v>
      </c>
      <c r="D118" t="s">
        <v>16</v>
      </c>
      <c r="E118">
        <v>43685.14</v>
      </c>
      <c r="F118">
        <v>7821</v>
      </c>
      <c r="G118">
        <v>0.19</v>
      </c>
      <c r="H118">
        <v>17</v>
      </c>
      <c r="I118">
        <v>91</v>
      </c>
      <c r="J118">
        <v>2.4900000000000002</v>
      </c>
      <c r="K118">
        <v>1</v>
      </c>
      <c r="L118">
        <v>4.7</v>
      </c>
      <c r="M118">
        <v>714942.43</v>
      </c>
      <c r="N118">
        <v>94697.71</v>
      </c>
    </row>
    <row r="119" spans="1:14">
      <c r="A119" t="s">
        <v>51</v>
      </c>
      <c r="B119" s="2">
        <v>45689</v>
      </c>
      <c r="C119" t="s">
        <v>27</v>
      </c>
      <c r="D119" t="s">
        <v>16</v>
      </c>
      <c r="E119">
        <v>57360.01</v>
      </c>
      <c r="F119">
        <v>8434</v>
      </c>
      <c r="G119">
        <v>0.151</v>
      </c>
      <c r="H119">
        <v>19</v>
      </c>
      <c r="I119">
        <v>84.1</v>
      </c>
      <c r="J119">
        <v>1.56</v>
      </c>
      <c r="K119">
        <v>0</v>
      </c>
      <c r="L119">
        <v>4.7</v>
      </c>
      <c r="M119">
        <v>820519.04</v>
      </c>
      <c r="N119">
        <v>99035.88</v>
      </c>
    </row>
    <row r="120" spans="1:14">
      <c r="A120" t="s">
        <v>51</v>
      </c>
      <c r="B120" s="2">
        <v>45717</v>
      </c>
      <c r="C120" t="s">
        <v>27</v>
      </c>
      <c r="D120" t="s">
        <v>16</v>
      </c>
      <c r="E120">
        <v>42415.47</v>
      </c>
      <c r="F120">
        <v>8512</v>
      </c>
      <c r="G120">
        <v>0.13300000000000001</v>
      </c>
      <c r="H120">
        <v>18</v>
      </c>
      <c r="I120">
        <v>96.8</v>
      </c>
      <c r="J120">
        <v>14.95</v>
      </c>
      <c r="K120">
        <v>0</v>
      </c>
      <c r="L120">
        <v>4.5999999999999996</v>
      </c>
      <c r="M120">
        <v>684217.32</v>
      </c>
      <c r="N120">
        <v>136217.19</v>
      </c>
    </row>
    <row r="121" spans="1:14">
      <c r="A121" t="s">
        <v>51</v>
      </c>
      <c r="B121" s="2">
        <v>45748</v>
      </c>
      <c r="C121" t="s">
        <v>27</v>
      </c>
      <c r="D121" t="s">
        <v>16</v>
      </c>
      <c r="E121">
        <v>54968.98</v>
      </c>
      <c r="F121">
        <v>7816</v>
      </c>
      <c r="G121">
        <v>0.23200000000000001</v>
      </c>
      <c r="H121">
        <v>19</v>
      </c>
      <c r="I121">
        <v>95.7</v>
      </c>
      <c r="J121">
        <v>7.85</v>
      </c>
      <c r="K121">
        <v>0</v>
      </c>
      <c r="L121">
        <v>4.7</v>
      </c>
      <c r="M121">
        <v>735480.19</v>
      </c>
      <c r="N121">
        <v>88342.11</v>
      </c>
    </row>
    <row r="122" spans="1:14">
      <c r="A122" t="s">
        <v>52</v>
      </c>
      <c r="B122" s="2">
        <v>45658</v>
      </c>
      <c r="C122" t="s">
        <v>20</v>
      </c>
      <c r="D122" t="s">
        <v>18</v>
      </c>
      <c r="E122">
        <v>43896.13</v>
      </c>
      <c r="F122">
        <v>3853</v>
      </c>
      <c r="G122">
        <v>8.7999999999999995E-2</v>
      </c>
      <c r="H122">
        <v>13</v>
      </c>
      <c r="I122">
        <v>83</v>
      </c>
      <c r="J122">
        <v>6.8</v>
      </c>
      <c r="K122">
        <v>0</v>
      </c>
      <c r="L122">
        <v>4.4000000000000004</v>
      </c>
      <c r="M122">
        <v>509484.81</v>
      </c>
      <c r="N122">
        <v>85742.36</v>
      </c>
    </row>
    <row r="123" spans="1:14">
      <c r="A123" t="s">
        <v>52</v>
      </c>
      <c r="B123" s="2">
        <v>45689</v>
      </c>
      <c r="C123" t="s">
        <v>20</v>
      </c>
      <c r="D123" t="s">
        <v>18</v>
      </c>
      <c r="E123">
        <v>83044.17</v>
      </c>
      <c r="F123">
        <v>3694</v>
      </c>
      <c r="G123">
        <v>0</v>
      </c>
      <c r="H123">
        <v>14</v>
      </c>
      <c r="I123">
        <v>89.4</v>
      </c>
      <c r="J123">
        <v>2.2000000000000002</v>
      </c>
      <c r="K123">
        <v>0</v>
      </c>
      <c r="L123">
        <v>3.7</v>
      </c>
      <c r="M123">
        <v>654317.09</v>
      </c>
      <c r="N123">
        <v>121446.89</v>
      </c>
    </row>
    <row r="124" spans="1:14">
      <c r="A124" t="s">
        <v>52</v>
      </c>
      <c r="B124" s="2">
        <v>45717</v>
      </c>
      <c r="C124" t="s">
        <v>20</v>
      </c>
      <c r="D124" t="s">
        <v>18</v>
      </c>
      <c r="E124">
        <v>48396.13</v>
      </c>
      <c r="F124">
        <v>4423</v>
      </c>
      <c r="G124">
        <v>6.9000000000000006E-2</v>
      </c>
      <c r="H124">
        <v>15</v>
      </c>
      <c r="I124">
        <v>85.7</v>
      </c>
      <c r="J124">
        <v>1.88</v>
      </c>
      <c r="K124">
        <v>0</v>
      </c>
      <c r="L124">
        <v>3.9</v>
      </c>
      <c r="M124">
        <v>557487.26</v>
      </c>
      <c r="N124">
        <v>76432.19</v>
      </c>
    </row>
    <row r="125" spans="1:14">
      <c r="A125" t="s">
        <v>52</v>
      </c>
      <c r="B125" s="2">
        <v>45748</v>
      </c>
      <c r="C125" t="s">
        <v>20</v>
      </c>
      <c r="D125" t="s">
        <v>18</v>
      </c>
      <c r="E125">
        <v>19063.48</v>
      </c>
      <c r="F125">
        <v>1906</v>
      </c>
      <c r="G125">
        <v>0.216</v>
      </c>
      <c r="H125">
        <v>10</v>
      </c>
      <c r="I125">
        <v>97.8</v>
      </c>
      <c r="J125">
        <v>15.79</v>
      </c>
      <c r="K125">
        <v>0</v>
      </c>
      <c r="L125">
        <v>4.4000000000000004</v>
      </c>
      <c r="M125">
        <v>441275.42</v>
      </c>
      <c r="N125">
        <v>58234.87</v>
      </c>
    </row>
    <row r="126" spans="1:14">
      <c r="A126" t="s">
        <v>53</v>
      </c>
      <c r="B126" s="2">
        <v>45658</v>
      </c>
      <c r="C126" t="s">
        <v>24</v>
      </c>
      <c r="D126" t="s">
        <v>18</v>
      </c>
      <c r="E126">
        <v>61541.21</v>
      </c>
      <c r="F126">
        <v>10396</v>
      </c>
      <c r="G126">
        <v>0.123</v>
      </c>
      <c r="H126">
        <v>25</v>
      </c>
      <c r="I126">
        <v>88.1</v>
      </c>
      <c r="J126">
        <v>2.34</v>
      </c>
      <c r="K126">
        <v>1</v>
      </c>
      <c r="L126">
        <v>4.8</v>
      </c>
      <c r="M126">
        <v>914544.17</v>
      </c>
      <c r="N126">
        <v>79831.73</v>
      </c>
    </row>
    <row r="127" spans="1:14">
      <c r="A127" t="s">
        <v>53</v>
      </c>
      <c r="B127" s="2">
        <v>45689</v>
      </c>
      <c r="C127" t="s">
        <v>24</v>
      </c>
      <c r="D127" t="s">
        <v>18</v>
      </c>
      <c r="E127">
        <v>44747</v>
      </c>
      <c r="F127">
        <v>11076</v>
      </c>
      <c r="G127">
        <v>0.17599999999999999</v>
      </c>
      <c r="H127">
        <v>27</v>
      </c>
      <c r="I127">
        <v>98.3</v>
      </c>
      <c r="J127">
        <v>0.54</v>
      </c>
      <c r="K127">
        <v>0</v>
      </c>
      <c r="L127">
        <v>4.4000000000000004</v>
      </c>
      <c r="M127">
        <v>842439.67</v>
      </c>
      <c r="N127">
        <v>169983.63</v>
      </c>
    </row>
    <row r="128" spans="1:14">
      <c r="A128" t="s">
        <v>53</v>
      </c>
      <c r="B128" s="2">
        <v>45717</v>
      </c>
      <c r="C128" t="s">
        <v>24</v>
      </c>
      <c r="D128" t="s">
        <v>18</v>
      </c>
      <c r="E128">
        <v>56517.9</v>
      </c>
      <c r="F128">
        <v>9574</v>
      </c>
      <c r="G128">
        <v>0.20399999999999999</v>
      </c>
      <c r="H128">
        <v>20</v>
      </c>
      <c r="I128">
        <v>88.2</v>
      </c>
      <c r="J128">
        <v>5.37</v>
      </c>
      <c r="K128">
        <v>1</v>
      </c>
      <c r="L128">
        <v>4.9000000000000004</v>
      </c>
      <c r="M128">
        <v>842157.92</v>
      </c>
      <c r="N128">
        <v>107348.22</v>
      </c>
    </row>
    <row r="129" spans="1:14">
      <c r="A129" t="s">
        <v>53</v>
      </c>
      <c r="B129" s="2">
        <v>45748</v>
      </c>
      <c r="C129" t="s">
        <v>24</v>
      </c>
      <c r="D129" t="s">
        <v>18</v>
      </c>
      <c r="E129">
        <v>37828.5</v>
      </c>
      <c r="F129">
        <v>8221</v>
      </c>
      <c r="G129">
        <v>9.6000000000000002E-2</v>
      </c>
      <c r="H129">
        <v>19</v>
      </c>
      <c r="I129">
        <v>81.5</v>
      </c>
      <c r="J129">
        <v>3.19</v>
      </c>
      <c r="K129">
        <v>0</v>
      </c>
      <c r="L129">
        <v>4.8</v>
      </c>
      <c r="M129">
        <v>697155.3</v>
      </c>
      <c r="N129">
        <v>136408.54</v>
      </c>
    </row>
    <row r="130" spans="1:14">
      <c r="A130" t="s">
        <v>54</v>
      </c>
      <c r="B130" s="2">
        <v>45658</v>
      </c>
      <c r="C130" t="s">
        <v>15</v>
      </c>
      <c r="D130" t="s">
        <v>18</v>
      </c>
      <c r="E130">
        <v>66250.53</v>
      </c>
      <c r="F130">
        <v>10618</v>
      </c>
      <c r="G130">
        <v>0.14199999999999999</v>
      </c>
      <c r="H130">
        <v>27</v>
      </c>
      <c r="I130">
        <v>88.3</v>
      </c>
      <c r="J130">
        <v>1.1000000000000001</v>
      </c>
      <c r="K130">
        <v>1</v>
      </c>
      <c r="L130">
        <v>4.4000000000000004</v>
      </c>
      <c r="M130">
        <v>849018.3</v>
      </c>
      <c r="N130">
        <v>149035.13</v>
      </c>
    </row>
    <row r="131" spans="1:14">
      <c r="A131" t="s">
        <v>54</v>
      </c>
      <c r="B131" s="2">
        <v>45689</v>
      </c>
      <c r="C131" t="s">
        <v>15</v>
      </c>
      <c r="D131" t="s">
        <v>18</v>
      </c>
      <c r="E131">
        <v>68410.929999999993</v>
      </c>
      <c r="F131">
        <v>10596</v>
      </c>
      <c r="G131">
        <v>0.20699999999999999</v>
      </c>
      <c r="H131">
        <v>25</v>
      </c>
      <c r="I131">
        <v>81.2</v>
      </c>
      <c r="J131">
        <v>0.21</v>
      </c>
      <c r="K131">
        <v>0</v>
      </c>
      <c r="L131">
        <v>4</v>
      </c>
      <c r="M131">
        <v>801830.35</v>
      </c>
      <c r="N131">
        <v>114875.32</v>
      </c>
    </row>
    <row r="132" spans="1:14">
      <c r="A132" t="s">
        <v>54</v>
      </c>
      <c r="B132" s="2">
        <v>45717</v>
      </c>
      <c r="C132" t="s">
        <v>15</v>
      </c>
      <c r="D132" t="s">
        <v>18</v>
      </c>
      <c r="E132">
        <v>50735.63</v>
      </c>
      <c r="F132">
        <v>9619</v>
      </c>
      <c r="G132">
        <v>0.14399999999999999</v>
      </c>
      <c r="H132">
        <v>19</v>
      </c>
      <c r="I132">
        <v>93.8</v>
      </c>
      <c r="J132">
        <v>5.12</v>
      </c>
      <c r="K132">
        <v>1</v>
      </c>
      <c r="L132">
        <v>4.5</v>
      </c>
      <c r="M132">
        <v>725235.28</v>
      </c>
      <c r="N132">
        <v>121632.24</v>
      </c>
    </row>
    <row r="133" spans="1:14">
      <c r="A133" t="s">
        <v>54</v>
      </c>
      <c r="B133" s="2">
        <v>45748</v>
      </c>
      <c r="C133" t="s">
        <v>15</v>
      </c>
      <c r="D133" t="s">
        <v>18</v>
      </c>
      <c r="E133">
        <v>66455.8</v>
      </c>
      <c r="F133">
        <v>10836</v>
      </c>
      <c r="G133">
        <v>8.8999999999999996E-2</v>
      </c>
      <c r="H133">
        <v>25</v>
      </c>
      <c r="I133">
        <v>85</v>
      </c>
      <c r="J133">
        <v>9.77</v>
      </c>
      <c r="K133">
        <v>0</v>
      </c>
      <c r="L133">
        <v>4.5</v>
      </c>
      <c r="M133">
        <v>811452.72</v>
      </c>
      <c r="N133">
        <v>131325.67000000001</v>
      </c>
    </row>
    <row r="134" spans="1:14">
      <c r="A134" t="s">
        <v>55</v>
      </c>
      <c r="B134" s="2">
        <v>45658</v>
      </c>
      <c r="C134" t="s">
        <v>20</v>
      </c>
      <c r="D134" t="s">
        <v>18</v>
      </c>
      <c r="E134">
        <v>70276.28</v>
      </c>
      <c r="F134">
        <v>3043</v>
      </c>
      <c r="G134">
        <v>7.9000000000000001E-2</v>
      </c>
      <c r="H134">
        <v>9</v>
      </c>
      <c r="I134">
        <v>87.9</v>
      </c>
      <c r="J134">
        <v>3.77</v>
      </c>
      <c r="K134">
        <v>0</v>
      </c>
      <c r="L134">
        <v>4.4000000000000004</v>
      </c>
      <c r="M134">
        <v>527300.13</v>
      </c>
      <c r="N134">
        <v>84197.87</v>
      </c>
    </row>
    <row r="135" spans="1:14">
      <c r="A135" t="s">
        <v>55</v>
      </c>
      <c r="B135" s="2">
        <v>45689</v>
      </c>
      <c r="C135" t="s">
        <v>20</v>
      </c>
      <c r="D135" t="s">
        <v>18</v>
      </c>
      <c r="E135">
        <v>22071.64</v>
      </c>
      <c r="F135">
        <v>1814</v>
      </c>
      <c r="G135">
        <v>0.19600000000000001</v>
      </c>
      <c r="H135">
        <v>8</v>
      </c>
      <c r="I135">
        <v>81.099999999999994</v>
      </c>
      <c r="J135">
        <v>0.78</v>
      </c>
      <c r="K135">
        <v>0</v>
      </c>
      <c r="M135">
        <v>400831.65</v>
      </c>
      <c r="N135">
        <v>70979.31</v>
      </c>
    </row>
    <row r="136" spans="1:14">
      <c r="A136" t="s">
        <v>55</v>
      </c>
      <c r="B136" s="2">
        <v>45717</v>
      </c>
      <c r="C136" t="s">
        <v>20</v>
      </c>
      <c r="D136" t="s">
        <v>18</v>
      </c>
      <c r="E136">
        <v>52285.45</v>
      </c>
      <c r="F136">
        <v>3618</v>
      </c>
      <c r="G136">
        <v>8.5999999999999993E-2</v>
      </c>
      <c r="H136">
        <v>11</v>
      </c>
      <c r="I136">
        <v>95.6</v>
      </c>
      <c r="J136">
        <v>5.17</v>
      </c>
      <c r="K136">
        <v>1</v>
      </c>
      <c r="L136">
        <v>4.4000000000000004</v>
      </c>
      <c r="M136">
        <v>593247.25</v>
      </c>
      <c r="N136">
        <v>81240.289999999994</v>
      </c>
    </row>
    <row r="137" spans="1:14">
      <c r="A137" t="s">
        <v>55</v>
      </c>
      <c r="B137" s="2">
        <v>45748</v>
      </c>
      <c r="C137" t="s">
        <v>20</v>
      </c>
      <c r="D137" t="s">
        <v>18</v>
      </c>
      <c r="E137">
        <v>70366.759999999995</v>
      </c>
      <c r="F137">
        <v>1963</v>
      </c>
      <c r="G137">
        <v>0.182</v>
      </c>
      <c r="H137">
        <v>8</v>
      </c>
      <c r="I137">
        <v>89.8</v>
      </c>
      <c r="J137">
        <v>3.2</v>
      </c>
      <c r="K137">
        <v>0</v>
      </c>
      <c r="L137">
        <v>4.5999999999999996</v>
      </c>
      <c r="M137">
        <v>529075.94999999995</v>
      </c>
      <c r="N137">
        <v>95978.83</v>
      </c>
    </row>
    <row r="138" spans="1:14">
      <c r="A138" t="s">
        <v>56</v>
      </c>
      <c r="B138" s="2">
        <v>45658</v>
      </c>
      <c r="C138" t="s">
        <v>24</v>
      </c>
      <c r="D138" t="s">
        <v>16</v>
      </c>
      <c r="E138">
        <v>71320.66</v>
      </c>
      <c r="F138">
        <v>7888</v>
      </c>
      <c r="G138">
        <v>4.8000000000000001E-2</v>
      </c>
      <c r="H138">
        <v>20</v>
      </c>
      <c r="I138">
        <v>78.099999999999994</v>
      </c>
      <c r="J138">
        <v>3.4</v>
      </c>
      <c r="K138">
        <v>0</v>
      </c>
      <c r="M138">
        <v>633638.03</v>
      </c>
      <c r="N138">
        <v>99402.01</v>
      </c>
    </row>
    <row r="139" spans="1:14">
      <c r="A139" t="s">
        <v>56</v>
      </c>
      <c r="B139" s="2">
        <v>45689</v>
      </c>
      <c r="C139" t="s">
        <v>24</v>
      </c>
      <c r="D139" t="s">
        <v>16</v>
      </c>
      <c r="E139">
        <v>75109.67</v>
      </c>
      <c r="F139">
        <v>6244</v>
      </c>
      <c r="G139">
        <v>7.9000000000000001E-2</v>
      </c>
      <c r="H139">
        <v>15</v>
      </c>
      <c r="I139">
        <v>96.3</v>
      </c>
      <c r="J139">
        <v>7.38</v>
      </c>
      <c r="K139">
        <v>0</v>
      </c>
      <c r="L139">
        <v>3.7</v>
      </c>
      <c r="M139">
        <v>743348.84</v>
      </c>
      <c r="N139">
        <v>104186.09</v>
      </c>
    </row>
    <row r="140" spans="1:14">
      <c r="A140" t="s">
        <v>56</v>
      </c>
      <c r="B140" s="2">
        <v>45717</v>
      </c>
      <c r="C140" t="s">
        <v>24</v>
      </c>
      <c r="D140" t="s">
        <v>16</v>
      </c>
      <c r="E140">
        <v>69779</v>
      </c>
      <c r="F140">
        <v>6544</v>
      </c>
      <c r="G140">
        <v>0.152</v>
      </c>
      <c r="H140">
        <v>18</v>
      </c>
      <c r="I140">
        <v>90.2</v>
      </c>
      <c r="J140">
        <v>0.85</v>
      </c>
      <c r="K140">
        <v>1</v>
      </c>
      <c r="L140">
        <v>3.3</v>
      </c>
      <c r="M140">
        <v>758827.64</v>
      </c>
      <c r="N140">
        <v>161439.48000000001</v>
      </c>
    </row>
    <row r="141" spans="1:14">
      <c r="A141" t="s">
        <v>56</v>
      </c>
      <c r="B141" s="2">
        <v>45748</v>
      </c>
      <c r="C141" t="s">
        <v>24</v>
      </c>
      <c r="D141" t="s">
        <v>16</v>
      </c>
      <c r="E141">
        <v>44211.95</v>
      </c>
      <c r="F141">
        <v>5465</v>
      </c>
      <c r="G141">
        <v>0.187</v>
      </c>
      <c r="H141">
        <v>12</v>
      </c>
      <c r="I141">
        <v>90</v>
      </c>
      <c r="J141">
        <v>2.89</v>
      </c>
      <c r="K141">
        <v>0</v>
      </c>
      <c r="L141">
        <v>3.6</v>
      </c>
      <c r="M141">
        <v>646559.71</v>
      </c>
      <c r="N141">
        <v>97981.75</v>
      </c>
    </row>
    <row r="142" spans="1:14">
      <c r="A142" t="s">
        <v>57</v>
      </c>
      <c r="B142" s="2">
        <v>45658</v>
      </c>
      <c r="C142" t="s">
        <v>27</v>
      </c>
      <c r="D142" t="s">
        <v>18</v>
      </c>
      <c r="E142">
        <v>51430.31</v>
      </c>
      <c r="F142">
        <v>6427</v>
      </c>
      <c r="G142">
        <v>0.23400000000000001</v>
      </c>
      <c r="H142">
        <v>14</v>
      </c>
      <c r="I142">
        <v>88.8</v>
      </c>
      <c r="J142">
        <v>0.77</v>
      </c>
      <c r="K142">
        <v>0</v>
      </c>
      <c r="L142">
        <v>4.0999999999999996</v>
      </c>
      <c r="M142">
        <v>715890.53</v>
      </c>
      <c r="N142">
        <v>109032.15</v>
      </c>
    </row>
    <row r="143" spans="1:14">
      <c r="A143" t="s">
        <v>57</v>
      </c>
      <c r="B143" s="2">
        <v>45689</v>
      </c>
      <c r="C143" t="s">
        <v>27</v>
      </c>
      <c r="D143" t="s">
        <v>18</v>
      </c>
      <c r="E143">
        <v>45706.49</v>
      </c>
      <c r="F143">
        <v>6704</v>
      </c>
      <c r="G143">
        <v>3.7999999999999999E-2</v>
      </c>
      <c r="H143">
        <v>15</v>
      </c>
      <c r="I143">
        <v>94.2</v>
      </c>
      <c r="J143">
        <v>2.92</v>
      </c>
      <c r="K143">
        <v>0</v>
      </c>
      <c r="L143">
        <v>4.2</v>
      </c>
      <c r="M143">
        <v>715097.57</v>
      </c>
      <c r="N143">
        <v>151875.85999999999</v>
      </c>
    </row>
    <row r="144" spans="1:14">
      <c r="A144" t="s">
        <v>57</v>
      </c>
      <c r="B144" s="2">
        <v>45717</v>
      </c>
      <c r="C144" t="s">
        <v>27</v>
      </c>
      <c r="D144" t="s">
        <v>18</v>
      </c>
      <c r="E144">
        <v>44034.6</v>
      </c>
      <c r="F144">
        <v>5645</v>
      </c>
      <c r="G144">
        <v>6.9000000000000006E-2</v>
      </c>
      <c r="H144">
        <v>18</v>
      </c>
      <c r="I144">
        <v>88.5</v>
      </c>
      <c r="J144">
        <v>3.07</v>
      </c>
      <c r="K144">
        <v>0</v>
      </c>
      <c r="L144">
        <v>3.8</v>
      </c>
      <c r="M144">
        <v>682639.28</v>
      </c>
      <c r="N144">
        <v>77557.53</v>
      </c>
    </row>
    <row r="145" spans="1:14">
      <c r="A145" t="s">
        <v>57</v>
      </c>
      <c r="B145" s="2">
        <v>45748</v>
      </c>
      <c r="C145" t="s">
        <v>27</v>
      </c>
      <c r="D145" t="s">
        <v>18</v>
      </c>
      <c r="E145">
        <v>50198.12</v>
      </c>
      <c r="F145">
        <v>6089</v>
      </c>
      <c r="G145">
        <v>0.182</v>
      </c>
      <c r="H145">
        <v>19</v>
      </c>
      <c r="I145">
        <v>94</v>
      </c>
      <c r="J145">
        <v>9.6999999999999993</v>
      </c>
      <c r="K145">
        <v>0</v>
      </c>
      <c r="L145">
        <v>3.9</v>
      </c>
      <c r="M145">
        <v>695098.51</v>
      </c>
      <c r="N145">
        <v>108192.75</v>
      </c>
    </row>
    <row r="146" spans="1:14">
      <c r="A146" t="s">
        <v>58</v>
      </c>
      <c r="B146" s="2">
        <v>45658</v>
      </c>
      <c r="C146" t="s">
        <v>20</v>
      </c>
      <c r="D146" t="s">
        <v>16</v>
      </c>
      <c r="E146">
        <v>70488.2</v>
      </c>
      <c r="F146">
        <v>4312</v>
      </c>
      <c r="G146">
        <v>0.16900000000000001</v>
      </c>
      <c r="H146">
        <v>12</v>
      </c>
      <c r="I146">
        <v>90.2</v>
      </c>
      <c r="J146">
        <v>3.71</v>
      </c>
      <c r="K146">
        <v>0</v>
      </c>
      <c r="L146">
        <v>3.2</v>
      </c>
      <c r="M146">
        <v>577732.56999999995</v>
      </c>
      <c r="N146">
        <v>93804.27</v>
      </c>
    </row>
    <row r="147" spans="1:14">
      <c r="A147" t="s">
        <v>58</v>
      </c>
      <c r="B147" s="2">
        <v>45689</v>
      </c>
      <c r="C147" t="s">
        <v>20</v>
      </c>
      <c r="D147" t="s">
        <v>16</v>
      </c>
      <c r="E147">
        <v>50909.27</v>
      </c>
      <c r="F147">
        <v>3152</v>
      </c>
      <c r="G147">
        <v>0.06</v>
      </c>
      <c r="H147">
        <v>13</v>
      </c>
      <c r="I147">
        <v>93.7</v>
      </c>
      <c r="J147">
        <v>10.79</v>
      </c>
      <c r="K147">
        <v>0</v>
      </c>
      <c r="L147">
        <v>3.5</v>
      </c>
      <c r="M147">
        <v>537058.32999999996</v>
      </c>
      <c r="N147">
        <v>93555.71</v>
      </c>
    </row>
    <row r="148" spans="1:14">
      <c r="A148" t="s">
        <v>58</v>
      </c>
      <c r="B148" s="2">
        <v>45717</v>
      </c>
      <c r="C148" t="s">
        <v>20</v>
      </c>
      <c r="D148" t="s">
        <v>16</v>
      </c>
      <c r="E148">
        <v>53351.7</v>
      </c>
      <c r="F148">
        <v>4259</v>
      </c>
      <c r="G148">
        <v>0.156</v>
      </c>
      <c r="H148">
        <v>15</v>
      </c>
      <c r="I148">
        <v>93.7</v>
      </c>
      <c r="J148">
        <v>6.03</v>
      </c>
      <c r="K148">
        <v>0</v>
      </c>
      <c r="L148">
        <v>3.4</v>
      </c>
      <c r="M148">
        <v>601568.87</v>
      </c>
      <c r="N148">
        <v>91634.82</v>
      </c>
    </row>
    <row r="149" spans="1:14">
      <c r="A149" t="s">
        <v>58</v>
      </c>
      <c r="B149" s="2">
        <v>45748</v>
      </c>
      <c r="C149" t="s">
        <v>20</v>
      </c>
      <c r="D149" t="s">
        <v>16</v>
      </c>
      <c r="E149">
        <v>60322.400000000001</v>
      </c>
      <c r="F149">
        <v>3350</v>
      </c>
      <c r="G149">
        <v>0.108</v>
      </c>
      <c r="H149">
        <v>12</v>
      </c>
      <c r="I149">
        <v>89.4</v>
      </c>
      <c r="J149">
        <v>4.92</v>
      </c>
      <c r="K149">
        <v>0</v>
      </c>
      <c r="L149">
        <v>3.4</v>
      </c>
      <c r="M149">
        <v>570964.84</v>
      </c>
      <c r="N149">
        <v>81331.070000000007</v>
      </c>
    </row>
    <row r="150" spans="1:14">
      <c r="A150" t="s">
        <v>59</v>
      </c>
      <c r="B150" s="2">
        <v>45658</v>
      </c>
      <c r="C150" t="s">
        <v>24</v>
      </c>
      <c r="D150" t="s">
        <v>28</v>
      </c>
      <c r="E150">
        <v>51575.68</v>
      </c>
      <c r="F150">
        <v>5329</v>
      </c>
      <c r="G150">
        <v>4.7E-2</v>
      </c>
      <c r="H150">
        <v>17</v>
      </c>
      <c r="I150">
        <v>88.1</v>
      </c>
      <c r="J150">
        <v>19.78</v>
      </c>
      <c r="K150">
        <v>0</v>
      </c>
      <c r="L150">
        <v>3.8</v>
      </c>
      <c r="M150">
        <v>614024.91</v>
      </c>
      <c r="N150">
        <v>84828.93</v>
      </c>
    </row>
    <row r="151" spans="1:14">
      <c r="A151" t="s">
        <v>59</v>
      </c>
      <c r="B151" s="2">
        <v>45689</v>
      </c>
      <c r="C151" t="s">
        <v>24</v>
      </c>
      <c r="D151" t="s">
        <v>28</v>
      </c>
      <c r="E151">
        <v>43319.94</v>
      </c>
      <c r="F151">
        <v>6551</v>
      </c>
      <c r="G151">
        <v>4.3999999999999997E-2</v>
      </c>
      <c r="H151">
        <v>13</v>
      </c>
      <c r="I151">
        <v>99</v>
      </c>
      <c r="J151">
        <v>5.45</v>
      </c>
      <c r="K151">
        <v>0</v>
      </c>
      <c r="L151">
        <v>4.0999999999999996</v>
      </c>
      <c r="M151">
        <v>712868.35</v>
      </c>
      <c r="N151">
        <v>133650.51</v>
      </c>
    </row>
    <row r="152" spans="1:14">
      <c r="A152" t="s">
        <v>59</v>
      </c>
      <c r="B152" s="2">
        <v>45717</v>
      </c>
      <c r="C152" t="s">
        <v>24</v>
      </c>
      <c r="D152" t="s">
        <v>28</v>
      </c>
      <c r="E152">
        <v>47093.55</v>
      </c>
      <c r="F152">
        <v>5550</v>
      </c>
      <c r="G152">
        <v>0.1</v>
      </c>
      <c r="H152">
        <v>12</v>
      </c>
      <c r="I152">
        <v>95</v>
      </c>
      <c r="J152">
        <v>2.33</v>
      </c>
      <c r="K152">
        <v>1</v>
      </c>
      <c r="L152">
        <v>3.7</v>
      </c>
      <c r="M152">
        <v>696744.15</v>
      </c>
      <c r="N152">
        <v>152230.09</v>
      </c>
    </row>
    <row r="153" spans="1:14">
      <c r="A153" t="s">
        <v>59</v>
      </c>
      <c r="B153" s="2">
        <v>45748</v>
      </c>
      <c r="C153" t="s">
        <v>24</v>
      </c>
      <c r="D153" t="s">
        <v>28</v>
      </c>
      <c r="E153">
        <v>71855.09</v>
      </c>
      <c r="F153">
        <v>5911</v>
      </c>
      <c r="G153">
        <v>0.19700000000000001</v>
      </c>
      <c r="H153">
        <v>15</v>
      </c>
      <c r="I153">
        <v>94.3</v>
      </c>
      <c r="J153">
        <v>3.55</v>
      </c>
      <c r="K153">
        <v>0</v>
      </c>
      <c r="L153">
        <v>4.0999999999999996</v>
      </c>
      <c r="M153">
        <v>725847.99</v>
      </c>
      <c r="N153">
        <v>122698.73</v>
      </c>
    </row>
    <row r="154" spans="1:14">
      <c r="A154" t="s">
        <v>60</v>
      </c>
      <c r="B154" s="2">
        <v>45658</v>
      </c>
      <c r="C154" t="s">
        <v>15</v>
      </c>
      <c r="D154" t="s">
        <v>18</v>
      </c>
      <c r="E154">
        <v>75645.23</v>
      </c>
      <c r="F154">
        <v>9674</v>
      </c>
      <c r="G154">
        <v>0.23400000000000001</v>
      </c>
      <c r="H154">
        <v>21</v>
      </c>
      <c r="I154">
        <v>87.4</v>
      </c>
      <c r="J154">
        <v>0.2</v>
      </c>
      <c r="K154">
        <v>0</v>
      </c>
      <c r="L154">
        <v>4.5</v>
      </c>
      <c r="M154">
        <v>785028.25</v>
      </c>
      <c r="N154">
        <v>110726.44</v>
      </c>
    </row>
    <row r="155" spans="1:14">
      <c r="A155" t="s">
        <v>60</v>
      </c>
      <c r="B155" s="2">
        <v>45689</v>
      </c>
      <c r="C155" t="s">
        <v>15</v>
      </c>
      <c r="D155" t="s">
        <v>18</v>
      </c>
      <c r="E155">
        <v>64374.75</v>
      </c>
      <c r="F155">
        <v>6740</v>
      </c>
      <c r="G155">
        <v>0.16900000000000001</v>
      </c>
      <c r="H155">
        <v>18</v>
      </c>
      <c r="I155">
        <v>87</v>
      </c>
      <c r="J155">
        <v>2.09</v>
      </c>
      <c r="K155">
        <v>0</v>
      </c>
      <c r="L155">
        <v>4.2</v>
      </c>
      <c r="M155">
        <v>698492.67</v>
      </c>
      <c r="N155">
        <v>117319.32</v>
      </c>
    </row>
    <row r="156" spans="1:14">
      <c r="A156" t="s">
        <v>60</v>
      </c>
      <c r="B156" s="2">
        <v>45717</v>
      </c>
      <c r="C156" t="s">
        <v>15</v>
      </c>
      <c r="D156" t="s">
        <v>18</v>
      </c>
      <c r="E156">
        <v>61433.84</v>
      </c>
      <c r="F156">
        <v>7745</v>
      </c>
      <c r="G156">
        <v>0.18</v>
      </c>
      <c r="H156">
        <v>16</v>
      </c>
      <c r="I156">
        <v>90.5</v>
      </c>
      <c r="J156">
        <v>2.2599999999999998</v>
      </c>
      <c r="K156">
        <v>0</v>
      </c>
      <c r="L156">
        <v>4.2</v>
      </c>
      <c r="M156">
        <v>685830.24</v>
      </c>
      <c r="N156">
        <v>128736.18</v>
      </c>
    </row>
    <row r="157" spans="1:14">
      <c r="A157" t="s">
        <v>60</v>
      </c>
      <c r="B157" s="2">
        <v>45748</v>
      </c>
      <c r="C157" t="s">
        <v>15</v>
      </c>
      <c r="D157" t="s">
        <v>18</v>
      </c>
      <c r="E157">
        <v>42698.14</v>
      </c>
      <c r="F157">
        <v>7693</v>
      </c>
      <c r="G157">
        <v>0.187</v>
      </c>
      <c r="H157">
        <v>19</v>
      </c>
      <c r="I157">
        <v>90.1</v>
      </c>
      <c r="J157">
        <v>0.44</v>
      </c>
      <c r="K157">
        <v>0</v>
      </c>
      <c r="L157">
        <v>4.4000000000000004</v>
      </c>
      <c r="M157">
        <v>702318.94</v>
      </c>
      <c r="N157">
        <v>112829.29</v>
      </c>
    </row>
    <row r="158" spans="1:14">
      <c r="A158" t="s">
        <v>61</v>
      </c>
      <c r="B158" s="2">
        <v>45658</v>
      </c>
      <c r="C158" t="s">
        <v>20</v>
      </c>
      <c r="D158" t="s">
        <v>28</v>
      </c>
      <c r="E158">
        <v>86883.31</v>
      </c>
      <c r="F158">
        <v>6424</v>
      </c>
      <c r="G158">
        <v>5.7000000000000002E-2</v>
      </c>
      <c r="H158">
        <v>19</v>
      </c>
      <c r="I158">
        <v>85.2</v>
      </c>
      <c r="J158">
        <v>3.08</v>
      </c>
      <c r="K158">
        <v>0</v>
      </c>
      <c r="L158">
        <v>3.9</v>
      </c>
      <c r="M158">
        <v>700078.32</v>
      </c>
      <c r="N158">
        <v>123707.58</v>
      </c>
    </row>
    <row r="159" spans="1:14">
      <c r="A159" t="s">
        <v>61</v>
      </c>
      <c r="B159" s="2">
        <v>45689</v>
      </c>
      <c r="C159" t="s">
        <v>20</v>
      </c>
      <c r="D159" t="s">
        <v>28</v>
      </c>
      <c r="E159">
        <v>41863.08</v>
      </c>
      <c r="F159">
        <v>5400</v>
      </c>
      <c r="G159">
        <v>0.114</v>
      </c>
      <c r="H159">
        <v>11</v>
      </c>
      <c r="I159">
        <v>91.6</v>
      </c>
      <c r="J159">
        <v>7.99</v>
      </c>
      <c r="K159">
        <v>0</v>
      </c>
      <c r="L159">
        <v>3</v>
      </c>
      <c r="M159">
        <v>602002.31999999995</v>
      </c>
      <c r="N159">
        <v>110453.28</v>
      </c>
    </row>
    <row r="160" spans="1:14">
      <c r="A160" t="s">
        <v>61</v>
      </c>
      <c r="B160" s="2">
        <v>45717</v>
      </c>
      <c r="C160" t="s">
        <v>20</v>
      </c>
      <c r="D160" t="s">
        <v>28</v>
      </c>
      <c r="E160">
        <v>56918.16</v>
      </c>
      <c r="F160">
        <v>7015</v>
      </c>
      <c r="G160">
        <v>0.158</v>
      </c>
      <c r="H160">
        <v>18</v>
      </c>
      <c r="I160">
        <v>74.2</v>
      </c>
      <c r="J160">
        <v>0.2</v>
      </c>
      <c r="K160">
        <v>0</v>
      </c>
      <c r="L160">
        <v>3.4</v>
      </c>
      <c r="M160">
        <v>724216.07</v>
      </c>
      <c r="N160">
        <v>100627.56</v>
      </c>
    </row>
    <row r="161" spans="1:14">
      <c r="A161" t="s">
        <v>61</v>
      </c>
      <c r="B161" s="2">
        <v>45748</v>
      </c>
      <c r="C161" t="s">
        <v>20</v>
      </c>
      <c r="D161" t="s">
        <v>28</v>
      </c>
      <c r="E161">
        <v>23254.57</v>
      </c>
      <c r="F161">
        <v>3847</v>
      </c>
      <c r="G161">
        <v>0.159</v>
      </c>
      <c r="H161">
        <v>12</v>
      </c>
      <c r="I161">
        <v>93</v>
      </c>
      <c r="J161">
        <v>5.46</v>
      </c>
      <c r="K161">
        <v>0</v>
      </c>
      <c r="L161">
        <v>3.3</v>
      </c>
      <c r="M161">
        <v>620973.03</v>
      </c>
      <c r="N161">
        <v>72303.850000000006</v>
      </c>
    </row>
    <row r="162" spans="1:14">
      <c r="A162" t="s">
        <v>62</v>
      </c>
      <c r="B162" s="2">
        <v>45658</v>
      </c>
      <c r="C162" t="s">
        <v>24</v>
      </c>
      <c r="D162" t="s">
        <v>18</v>
      </c>
      <c r="E162">
        <v>41443.410000000003</v>
      </c>
      <c r="F162">
        <v>7455</v>
      </c>
      <c r="G162">
        <v>0.17499999999999999</v>
      </c>
      <c r="H162">
        <v>16</v>
      </c>
      <c r="I162">
        <v>90.1</v>
      </c>
      <c r="J162">
        <v>4.05</v>
      </c>
      <c r="K162">
        <v>0</v>
      </c>
      <c r="L162">
        <v>4</v>
      </c>
      <c r="M162">
        <v>650480.06000000006</v>
      </c>
      <c r="N162">
        <v>109012.07</v>
      </c>
    </row>
    <row r="163" spans="1:14">
      <c r="A163" t="s">
        <v>62</v>
      </c>
      <c r="B163" s="2">
        <v>45689</v>
      </c>
      <c r="C163" t="s">
        <v>24</v>
      </c>
      <c r="D163" t="s">
        <v>18</v>
      </c>
      <c r="E163">
        <v>48438.85</v>
      </c>
      <c r="F163">
        <v>6992</v>
      </c>
      <c r="G163">
        <v>3.4000000000000002E-2</v>
      </c>
      <c r="H163">
        <v>20</v>
      </c>
      <c r="I163">
        <v>91</v>
      </c>
      <c r="J163">
        <v>4.3600000000000003</v>
      </c>
      <c r="K163">
        <v>0</v>
      </c>
      <c r="L163">
        <v>4.2</v>
      </c>
      <c r="M163">
        <v>778298.88</v>
      </c>
      <c r="N163">
        <v>130076.72</v>
      </c>
    </row>
    <row r="164" spans="1:14">
      <c r="A164" t="s">
        <v>62</v>
      </c>
      <c r="B164" s="2">
        <v>45717</v>
      </c>
      <c r="C164" t="s">
        <v>24</v>
      </c>
      <c r="D164" t="s">
        <v>18</v>
      </c>
      <c r="E164">
        <v>57143.3</v>
      </c>
      <c r="F164">
        <v>8038</v>
      </c>
      <c r="G164">
        <v>0.193</v>
      </c>
      <c r="H164">
        <v>17</v>
      </c>
      <c r="I164">
        <v>72.599999999999994</v>
      </c>
      <c r="K164">
        <v>0</v>
      </c>
      <c r="L164">
        <v>4.2</v>
      </c>
      <c r="M164">
        <v>677096.71</v>
      </c>
      <c r="N164">
        <v>97174.11</v>
      </c>
    </row>
    <row r="165" spans="1:14">
      <c r="A165" t="s">
        <v>62</v>
      </c>
      <c r="B165" s="2">
        <v>45748</v>
      </c>
      <c r="C165" t="s">
        <v>24</v>
      </c>
      <c r="D165" t="s">
        <v>18</v>
      </c>
      <c r="E165">
        <v>66870.62</v>
      </c>
      <c r="F165">
        <v>6055</v>
      </c>
      <c r="G165">
        <v>7.4999999999999997E-2</v>
      </c>
      <c r="H165">
        <v>19</v>
      </c>
      <c r="I165">
        <v>93.8</v>
      </c>
      <c r="J165">
        <v>0.54</v>
      </c>
      <c r="K165">
        <v>0</v>
      </c>
      <c r="L165">
        <v>4.3</v>
      </c>
      <c r="M165">
        <v>692008.64</v>
      </c>
      <c r="N165">
        <v>116337.87</v>
      </c>
    </row>
    <row r="166" spans="1:14">
      <c r="A166" t="s">
        <v>63</v>
      </c>
      <c r="B166" s="2">
        <v>45658</v>
      </c>
      <c r="C166" t="s">
        <v>20</v>
      </c>
      <c r="D166" t="s">
        <v>28</v>
      </c>
      <c r="E166">
        <v>72150.53</v>
      </c>
      <c r="F166">
        <v>9323</v>
      </c>
      <c r="G166">
        <v>0.157</v>
      </c>
      <c r="H166">
        <v>22</v>
      </c>
      <c r="I166">
        <v>82.9</v>
      </c>
      <c r="J166">
        <v>11.37</v>
      </c>
      <c r="K166">
        <v>1</v>
      </c>
      <c r="L166">
        <v>4.3</v>
      </c>
      <c r="M166">
        <v>825797.91</v>
      </c>
      <c r="N166">
        <v>130945.24</v>
      </c>
    </row>
    <row r="167" spans="1:14">
      <c r="A167" t="s">
        <v>63</v>
      </c>
      <c r="B167" s="2">
        <v>45689</v>
      </c>
      <c r="C167" t="s">
        <v>20</v>
      </c>
      <c r="D167" t="s">
        <v>28</v>
      </c>
      <c r="E167">
        <v>35303.300000000003</v>
      </c>
      <c r="F167">
        <v>8789</v>
      </c>
      <c r="G167">
        <v>0.123</v>
      </c>
      <c r="H167">
        <v>22</v>
      </c>
      <c r="I167">
        <v>86.1</v>
      </c>
      <c r="J167">
        <v>9.43</v>
      </c>
      <c r="K167">
        <v>0</v>
      </c>
      <c r="L167">
        <v>4.2</v>
      </c>
      <c r="M167">
        <v>706285.52</v>
      </c>
      <c r="N167">
        <v>138014.72</v>
      </c>
    </row>
    <row r="168" spans="1:14">
      <c r="A168" t="s">
        <v>63</v>
      </c>
      <c r="B168" s="2">
        <v>45717</v>
      </c>
      <c r="C168" t="s">
        <v>20</v>
      </c>
      <c r="D168" t="s">
        <v>28</v>
      </c>
      <c r="E168">
        <v>30301.86</v>
      </c>
      <c r="F168">
        <v>6939</v>
      </c>
      <c r="G168">
        <v>0.09</v>
      </c>
      <c r="H168">
        <v>16</v>
      </c>
      <c r="I168">
        <v>90.3</v>
      </c>
      <c r="J168">
        <v>3.49</v>
      </c>
      <c r="K168">
        <v>0</v>
      </c>
      <c r="L168">
        <v>4</v>
      </c>
      <c r="M168">
        <v>665534.69999999995</v>
      </c>
      <c r="N168">
        <v>113167.73</v>
      </c>
    </row>
    <row r="169" spans="1:14">
      <c r="A169" t="s">
        <v>63</v>
      </c>
      <c r="B169" s="2">
        <v>45748</v>
      </c>
      <c r="C169" t="s">
        <v>20</v>
      </c>
      <c r="D169" t="s">
        <v>28</v>
      </c>
      <c r="E169">
        <v>78432.14</v>
      </c>
      <c r="F169">
        <v>9440</v>
      </c>
      <c r="G169">
        <v>0.126</v>
      </c>
      <c r="H169">
        <v>23</v>
      </c>
      <c r="I169">
        <v>89.2</v>
      </c>
      <c r="J169">
        <v>7.86</v>
      </c>
      <c r="K169">
        <v>0</v>
      </c>
      <c r="L169">
        <v>4.0999999999999996</v>
      </c>
      <c r="M169">
        <v>820729.29</v>
      </c>
      <c r="N169">
        <v>159325.47</v>
      </c>
    </row>
    <row r="170" spans="1:14">
      <c r="A170" t="s">
        <v>64</v>
      </c>
      <c r="B170" s="2">
        <v>45658</v>
      </c>
      <c r="C170" t="s">
        <v>15</v>
      </c>
      <c r="D170" t="s">
        <v>16</v>
      </c>
      <c r="E170">
        <v>62059.18</v>
      </c>
      <c r="F170">
        <v>9374</v>
      </c>
      <c r="G170">
        <v>0.13600000000000001</v>
      </c>
      <c r="H170">
        <v>25</v>
      </c>
      <c r="I170">
        <v>87.1</v>
      </c>
      <c r="J170">
        <v>12.55</v>
      </c>
      <c r="K170">
        <v>0</v>
      </c>
      <c r="L170">
        <v>4.9000000000000004</v>
      </c>
      <c r="M170">
        <v>739831.73</v>
      </c>
      <c r="N170">
        <v>119490.21</v>
      </c>
    </row>
    <row r="171" spans="1:14">
      <c r="A171" t="s">
        <v>64</v>
      </c>
      <c r="B171" s="2">
        <v>45689</v>
      </c>
      <c r="C171" t="s">
        <v>15</v>
      </c>
      <c r="D171" t="s">
        <v>16</v>
      </c>
      <c r="E171">
        <v>32834.480000000003</v>
      </c>
      <c r="F171">
        <v>7576</v>
      </c>
      <c r="G171">
        <v>9.9000000000000005E-2</v>
      </c>
      <c r="H171">
        <v>15</v>
      </c>
      <c r="I171">
        <v>84.1</v>
      </c>
      <c r="J171">
        <v>3.48</v>
      </c>
      <c r="K171">
        <v>0</v>
      </c>
      <c r="L171">
        <v>5</v>
      </c>
      <c r="M171">
        <v>593637.14</v>
      </c>
      <c r="N171">
        <v>106648.14</v>
      </c>
    </row>
    <row r="172" spans="1:14">
      <c r="A172" t="s">
        <v>64</v>
      </c>
      <c r="B172" s="2">
        <v>45717</v>
      </c>
      <c r="C172" t="s">
        <v>15</v>
      </c>
      <c r="D172" t="s">
        <v>16</v>
      </c>
      <c r="E172">
        <v>50825.08</v>
      </c>
      <c r="F172">
        <v>8949</v>
      </c>
      <c r="G172">
        <v>0.157</v>
      </c>
      <c r="H172">
        <v>21</v>
      </c>
      <c r="I172">
        <v>84.7</v>
      </c>
      <c r="J172">
        <v>7.73</v>
      </c>
      <c r="K172">
        <v>0</v>
      </c>
      <c r="L172">
        <v>4.9000000000000004</v>
      </c>
      <c r="M172">
        <v>769702.76</v>
      </c>
      <c r="N172">
        <v>158697</v>
      </c>
    </row>
    <row r="173" spans="1:14">
      <c r="A173" t="s">
        <v>64</v>
      </c>
      <c r="B173" s="2">
        <v>45748</v>
      </c>
      <c r="C173" t="s">
        <v>15</v>
      </c>
      <c r="D173" t="s">
        <v>16</v>
      </c>
      <c r="E173">
        <v>36606.51</v>
      </c>
      <c r="F173">
        <v>7671</v>
      </c>
      <c r="G173">
        <v>0.11799999999999999</v>
      </c>
      <c r="H173">
        <v>18</v>
      </c>
      <c r="I173">
        <v>89.8</v>
      </c>
      <c r="J173">
        <v>0.25</v>
      </c>
      <c r="K173">
        <v>0</v>
      </c>
      <c r="L173">
        <v>4.4000000000000004</v>
      </c>
      <c r="M173">
        <v>679731.57</v>
      </c>
      <c r="N173">
        <v>121546.42</v>
      </c>
    </row>
    <row r="174" spans="1:14">
      <c r="A174" t="s">
        <v>65</v>
      </c>
      <c r="B174" s="2">
        <v>45658</v>
      </c>
      <c r="C174" t="s">
        <v>15</v>
      </c>
      <c r="D174" t="s">
        <v>16</v>
      </c>
      <c r="E174">
        <v>65237.79</v>
      </c>
      <c r="F174">
        <v>8741</v>
      </c>
      <c r="G174">
        <v>0.157</v>
      </c>
      <c r="H174">
        <v>20</v>
      </c>
      <c r="I174">
        <v>94.4</v>
      </c>
      <c r="J174">
        <v>6.43</v>
      </c>
      <c r="K174">
        <v>0</v>
      </c>
      <c r="L174">
        <v>3.3</v>
      </c>
      <c r="M174">
        <v>780344.18</v>
      </c>
      <c r="N174">
        <v>118239.09</v>
      </c>
    </row>
    <row r="175" spans="1:14">
      <c r="A175" t="s">
        <v>65</v>
      </c>
      <c r="B175" s="2">
        <v>45689</v>
      </c>
      <c r="C175" t="s">
        <v>15</v>
      </c>
      <c r="D175" t="s">
        <v>16</v>
      </c>
      <c r="E175">
        <v>43645.98</v>
      </c>
      <c r="F175">
        <v>9480</v>
      </c>
      <c r="G175">
        <v>0.109</v>
      </c>
      <c r="H175">
        <v>22</v>
      </c>
      <c r="I175">
        <v>89</v>
      </c>
      <c r="J175">
        <v>2.11</v>
      </c>
      <c r="K175">
        <v>0</v>
      </c>
      <c r="L175">
        <v>3.1</v>
      </c>
      <c r="M175">
        <v>721364.11</v>
      </c>
      <c r="N175">
        <v>147272.81</v>
      </c>
    </row>
    <row r="176" spans="1:14">
      <c r="A176" t="s">
        <v>65</v>
      </c>
      <c r="B176" s="2">
        <v>45717</v>
      </c>
      <c r="C176" t="s">
        <v>15</v>
      </c>
      <c r="D176" t="s">
        <v>16</v>
      </c>
      <c r="E176">
        <v>68040.149999999994</v>
      </c>
      <c r="F176">
        <v>9826</v>
      </c>
      <c r="G176">
        <v>0.125</v>
      </c>
      <c r="H176">
        <v>20</v>
      </c>
      <c r="I176">
        <v>83.9</v>
      </c>
      <c r="J176">
        <v>9.1199999999999992</v>
      </c>
      <c r="K176">
        <v>0</v>
      </c>
      <c r="L176">
        <v>3.6</v>
      </c>
      <c r="M176">
        <v>758138.29</v>
      </c>
      <c r="N176">
        <v>132975.26</v>
      </c>
    </row>
    <row r="177" spans="1:14">
      <c r="A177" t="s">
        <v>65</v>
      </c>
      <c r="B177" s="2">
        <v>45748</v>
      </c>
      <c r="C177" t="s">
        <v>15</v>
      </c>
      <c r="D177" t="s">
        <v>16</v>
      </c>
      <c r="E177">
        <v>63043.94</v>
      </c>
      <c r="F177">
        <v>10402</v>
      </c>
      <c r="G177">
        <v>0.159</v>
      </c>
      <c r="H177">
        <v>23</v>
      </c>
      <c r="I177">
        <v>93.9</v>
      </c>
      <c r="J177">
        <v>2.71</v>
      </c>
      <c r="K177">
        <v>0</v>
      </c>
      <c r="L177">
        <v>3.1</v>
      </c>
      <c r="M177">
        <v>804264</v>
      </c>
      <c r="N177">
        <v>167117.91</v>
      </c>
    </row>
    <row r="178" spans="1:14">
      <c r="A178" t="s">
        <v>66</v>
      </c>
      <c r="B178" s="2">
        <v>45658</v>
      </c>
      <c r="C178" t="s">
        <v>27</v>
      </c>
      <c r="D178" t="s">
        <v>21</v>
      </c>
      <c r="E178">
        <v>67494.09</v>
      </c>
      <c r="F178">
        <v>12361</v>
      </c>
      <c r="G178">
        <v>4.5999999999999999E-2</v>
      </c>
      <c r="H178">
        <v>24</v>
      </c>
      <c r="I178">
        <v>76.599999999999994</v>
      </c>
      <c r="J178">
        <v>3.65</v>
      </c>
      <c r="K178">
        <v>1</v>
      </c>
      <c r="L178">
        <v>3.7</v>
      </c>
      <c r="M178">
        <v>887537.75</v>
      </c>
      <c r="N178">
        <v>160362.92000000001</v>
      </c>
    </row>
    <row r="179" spans="1:14">
      <c r="A179" t="s">
        <v>66</v>
      </c>
      <c r="B179" s="2">
        <v>45689</v>
      </c>
      <c r="C179" t="s">
        <v>27</v>
      </c>
      <c r="D179" t="s">
        <v>21</v>
      </c>
      <c r="E179">
        <v>29389.32</v>
      </c>
      <c r="F179">
        <v>7925</v>
      </c>
      <c r="G179">
        <v>0.17699999999999999</v>
      </c>
      <c r="H179">
        <v>21</v>
      </c>
      <c r="I179">
        <v>90.9</v>
      </c>
      <c r="J179">
        <v>7.86</v>
      </c>
      <c r="K179">
        <v>0</v>
      </c>
      <c r="L179">
        <v>4</v>
      </c>
      <c r="M179">
        <v>783582</v>
      </c>
      <c r="N179">
        <v>130670.93</v>
      </c>
    </row>
    <row r="180" spans="1:14">
      <c r="A180" t="s">
        <v>66</v>
      </c>
      <c r="B180" s="2">
        <v>45717</v>
      </c>
      <c r="C180" t="s">
        <v>27</v>
      </c>
      <c r="D180" t="s">
        <v>21</v>
      </c>
      <c r="E180">
        <v>40535.089999999997</v>
      </c>
      <c r="F180">
        <v>8870</v>
      </c>
      <c r="G180">
        <v>4.1000000000000002E-2</v>
      </c>
      <c r="H180">
        <v>21</v>
      </c>
      <c r="I180">
        <v>86.6</v>
      </c>
      <c r="J180">
        <v>0.3</v>
      </c>
      <c r="K180">
        <v>0</v>
      </c>
      <c r="L180">
        <v>4.0999999999999996</v>
      </c>
      <c r="M180">
        <v>781955.52</v>
      </c>
      <c r="N180">
        <v>152578.71</v>
      </c>
    </row>
    <row r="181" spans="1:14">
      <c r="A181" t="s">
        <v>66</v>
      </c>
      <c r="B181" s="2">
        <v>45748</v>
      </c>
      <c r="C181" t="s">
        <v>27</v>
      </c>
      <c r="D181" t="s">
        <v>21</v>
      </c>
      <c r="E181">
        <v>74881.56</v>
      </c>
      <c r="F181">
        <v>9999</v>
      </c>
      <c r="G181">
        <v>1.2999999999999999E-2</v>
      </c>
      <c r="H181">
        <v>20</v>
      </c>
      <c r="I181">
        <v>89.6</v>
      </c>
      <c r="J181">
        <v>8.44</v>
      </c>
      <c r="K181">
        <v>0</v>
      </c>
      <c r="L181">
        <v>4.0999999999999996</v>
      </c>
      <c r="M181">
        <v>898031.04</v>
      </c>
      <c r="N181">
        <v>138666.5</v>
      </c>
    </row>
    <row r="182" spans="1:14">
      <c r="A182" t="s">
        <v>67</v>
      </c>
      <c r="B182" s="2">
        <v>45658</v>
      </c>
      <c r="C182" t="s">
        <v>27</v>
      </c>
      <c r="D182" t="s">
        <v>16</v>
      </c>
      <c r="E182">
        <v>68491.11</v>
      </c>
      <c r="F182">
        <v>11154</v>
      </c>
      <c r="G182">
        <v>1E-3</v>
      </c>
      <c r="H182">
        <v>24</v>
      </c>
      <c r="I182">
        <v>89.4</v>
      </c>
      <c r="J182">
        <v>5.27</v>
      </c>
      <c r="K182">
        <v>1</v>
      </c>
      <c r="L182">
        <v>3.9</v>
      </c>
      <c r="M182">
        <v>855341.28</v>
      </c>
      <c r="N182">
        <v>175823.8</v>
      </c>
    </row>
    <row r="183" spans="1:14">
      <c r="A183" t="s">
        <v>67</v>
      </c>
      <c r="B183" s="2">
        <v>45689</v>
      </c>
      <c r="C183" t="s">
        <v>27</v>
      </c>
      <c r="D183" t="s">
        <v>16</v>
      </c>
      <c r="E183">
        <v>45209.25</v>
      </c>
      <c r="F183">
        <v>9287</v>
      </c>
      <c r="G183">
        <v>0.14099999999999999</v>
      </c>
      <c r="H183">
        <v>22</v>
      </c>
      <c r="I183">
        <v>86.4</v>
      </c>
      <c r="J183">
        <v>13.22</v>
      </c>
      <c r="K183">
        <v>0</v>
      </c>
      <c r="L183">
        <v>3.6</v>
      </c>
      <c r="M183">
        <v>751393.88</v>
      </c>
      <c r="N183">
        <v>91480.320000000007</v>
      </c>
    </row>
    <row r="184" spans="1:14">
      <c r="A184" t="s">
        <v>67</v>
      </c>
      <c r="B184" s="2">
        <v>45717</v>
      </c>
      <c r="C184" t="s">
        <v>27</v>
      </c>
      <c r="D184" t="s">
        <v>16</v>
      </c>
      <c r="E184">
        <v>63010.23</v>
      </c>
      <c r="F184">
        <v>9812</v>
      </c>
      <c r="G184">
        <v>0.113</v>
      </c>
      <c r="H184">
        <v>24</v>
      </c>
      <c r="I184">
        <v>76.8</v>
      </c>
      <c r="J184">
        <v>1.02</v>
      </c>
      <c r="K184">
        <v>1</v>
      </c>
      <c r="L184">
        <v>3.8</v>
      </c>
      <c r="M184">
        <v>761077.08</v>
      </c>
      <c r="N184">
        <v>113605.93</v>
      </c>
    </row>
    <row r="185" spans="1:14">
      <c r="A185" t="s">
        <v>67</v>
      </c>
      <c r="B185" s="2">
        <v>45748</v>
      </c>
      <c r="C185" t="s">
        <v>27</v>
      </c>
      <c r="D185" t="s">
        <v>16</v>
      </c>
      <c r="E185">
        <v>57948.88</v>
      </c>
      <c r="F185">
        <v>10741</v>
      </c>
      <c r="G185">
        <v>7.0000000000000007E-2</v>
      </c>
      <c r="H185">
        <v>25</v>
      </c>
      <c r="I185">
        <v>90.1</v>
      </c>
      <c r="J185">
        <v>4.03</v>
      </c>
      <c r="K185">
        <v>0</v>
      </c>
      <c r="L185">
        <v>3.1</v>
      </c>
      <c r="M185">
        <v>819660.59</v>
      </c>
      <c r="N185">
        <v>172699.95</v>
      </c>
    </row>
    <row r="186" spans="1:14">
      <c r="A186" t="s">
        <v>68</v>
      </c>
      <c r="B186" s="2">
        <v>45658</v>
      </c>
      <c r="C186" t="s">
        <v>20</v>
      </c>
      <c r="D186" t="s">
        <v>18</v>
      </c>
      <c r="E186">
        <v>71941.62</v>
      </c>
      <c r="F186">
        <v>6084</v>
      </c>
      <c r="G186">
        <v>7.1999999999999995E-2</v>
      </c>
      <c r="H186">
        <v>13</v>
      </c>
      <c r="I186">
        <v>93.7</v>
      </c>
      <c r="J186">
        <v>2.34</v>
      </c>
      <c r="K186">
        <v>0</v>
      </c>
      <c r="L186">
        <v>4.4000000000000004</v>
      </c>
      <c r="M186">
        <v>681855.56</v>
      </c>
      <c r="N186">
        <v>117645.61</v>
      </c>
    </row>
    <row r="187" spans="1:14">
      <c r="A187" t="s">
        <v>68</v>
      </c>
      <c r="B187" s="2">
        <v>45689</v>
      </c>
      <c r="C187" t="s">
        <v>20</v>
      </c>
      <c r="D187" t="s">
        <v>18</v>
      </c>
      <c r="E187">
        <v>57147.88</v>
      </c>
      <c r="F187">
        <v>5252</v>
      </c>
      <c r="G187">
        <v>0.161</v>
      </c>
      <c r="H187">
        <v>15</v>
      </c>
      <c r="I187">
        <v>95.5</v>
      </c>
      <c r="J187">
        <v>8.51</v>
      </c>
      <c r="K187">
        <v>0</v>
      </c>
      <c r="L187">
        <v>4.4000000000000004</v>
      </c>
      <c r="M187">
        <v>678311.17</v>
      </c>
      <c r="N187">
        <v>132029.76000000001</v>
      </c>
    </row>
    <row r="188" spans="1:14">
      <c r="A188" t="s">
        <v>68</v>
      </c>
      <c r="B188" s="2">
        <v>45717</v>
      </c>
      <c r="C188" t="s">
        <v>20</v>
      </c>
      <c r="D188" t="s">
        <v>18</v>
      </c>
      <c r="E188">
        <v>48031.74</v>
      </c>
      <c r="F188">
        <v>6516</v>
      </c>
      <c r="G188">
        <v>6.7000000000000004E-2</v>
      </c>
      <c r="H188">
        <v>14</v>
      </c>
      <c r="I188">
        <v>99</v>
      </c>
      <c r="J188">
        <v>0.48</v>
      </c>
      <c r="K188">
        <v>1</v>
      </c>
      <c r="L188">
        <v>4.3</v>
      </c>
      <c r="M188">
        <v>765906.95</v>
      </c>
      <c r="N188">
        <v>114005.9</v>
      </c>
    </row>
    <row r="189" spans="1:14">
      <c r="A189" t="s">
        <v>68</v>
      </c>
      <c r="B189" s="2">
        <v>45748</v>
      </c>
      <c r="C189" t="s">
        <v>20</v>
      </c>
      <c r="D189" t="s">
        <v>18</v>
      </c>
      <c r="E189">
        <v>72784.800000000003</v>
      </c>
      <c r="F189">
        <v>7932</v>
      </c>
      <c r="G189">
        <v>9.4E-2</v>
      </c>
      <c r="H189">
        <v>20</v>
      </c>
      <c r="I189">
        <v>74.900000000000006</v>
      </c>
      <c r="J189">
        <v>13.62</v>
      </c>
      <c r="K189">
        <v>0</v>
      </c>
      <c r="L189">
        <v>4.2</v>
      </c>
      <c r="M189">
        <v>712546.38</v>
      </c>
      <c r="N189">
        <v>101480.04</v>
      </c>
    </row>
    <row r="190" spans="1:14">
      <c r="A190" t="s">
        <v>69</v>
      </c>
      <c r="B190" s="2">
        <v>45658</v>
      </c>
      <c r="C190" t="s">
        <v>15</v>
      </c>
      <c r="D190" t="s">
        <v>18</v>
      </c>
      <c r="E190">
        <v>71641.899999999994</v>
      </c>
      <c r="F190">
        <v>3506</v>
      </c>
      <c r="G190">
        <v>0</v>
      </c>
      <c r="H190">
        <v>11</v>
      </c>
      <c r="I190">
        <v>86.4</v>
      </c>
      <c r="J190">
        <v>7.77</v>
      </c>
      <c r="K190">
        <v>0</v>
      </c>
      <c r="L190">
        <v>4.0999999999999996</v>
      </c>
      <c r="M190">
        <v>625993.82999999996</v>
      </c>
      <c r="N190">
        <v>98960.320000000007</v>
      </c>
    </row>
    <row r="191" spans="1:14">
      <c r="A191" t="s">
        <v>69</v>
      </c>
      <c r="B191" s="2">
        <v>45689</v>
      </c>
      <c r="C191" t="s">
        <v>15</v>
      </c>
      <c r="D191" t="s">
        <v>18</v>
      </c>
      <c r="E191">
        <v>55788.61</v>
      </c>
      <c r="F191">
        <v>2312</v>
      </c>
      <c r="G191">
        <v>5.8000000000000003E-2</v>
      </c>
      <c r="H191">
        <v>10</v>
      </c>
      <c r="I191">
        <v>91.3</v>
      </c>
      <c r="J191">
        <v>1.99</v>
      </c>
      <c r="K191">
        <v>0</v>
      </c>
      <c r="L191">
        <v>3.8</v>
      </c>
      <c r="M191">
        <v>550962.93000000005</v>
      </c>
      <c r="N191">
        <v>97144.58</v>
      </c>
    </row>
    <row r="192" spans="1:14">
      <c r="A192" t="s">
        <v>69</v>
      </c>
      <c r="B192" s="2">
        <v>45717</v>
      </c>
      <c r="C192" t="s">
        <v>15</v>
      </c>
      <c r="D192" t="s">
        <v>18</v>
      </c>
      <c r="E192">
        <v>37705.879999999997</v>
      </c>
      <c r="F192">
        <v>1268</v>
      </c>
      <c r="G192">
        <v>0.25900000000000001</v>
      </c>
      <c r="H192">
        <v>9</v>
      </c>
      <c r="I192">
        <v>84.1</v>
      </c>
      <c r="J192">
        <v>4.7699999999999996</v>
      </c>
      <c r="K192">
        <v>0</v>
      </c>
      <c r="L192">
        <v>3.8</v>
      </c>
      <c r="M192">
        <v>443275.59</v>
      </c>
      <c r="N192">
        <v>53544.36</v>
      </c>
    </row>
    <row r="193" spans="1:14">
      <c r="A193" t="s">
        <v>69</v>
      </c>
      <c r="B193" s="2">
        <v>45748</v>
      </c>
      <c r="C193" t="s">
        <v>15</v>
      </c>
      <c r="D193" t="s">
        <v>18</v>
      </c>
      <c r="E193">
        <v>54966.18</v>
      </c>
      <c r="F193">
        <v>4423</v>
      </c>
      <c r="G193">
        <v>0.186</v>
      </c>
      <c r="H193">
        <v>13</v>
      </c>
      <c r="I193">
        <v>88.7</v>
      </c>
      <c r="J193">
        <v>0.2</v>
      </c>
      <c r="K193">
        <v>0</v>
      </c>
      <c r="L193">
        <v>4.4000000000000004</v>
      </c>
      <c r="M193">
        <v>554012.06999999995</v>
      </c>
      <c r="N193">
        <v>81101.62</v>
      </c>
    </row>
    <row r="194" spans="1:14">
      <c r="A194" t="s">
        <v>70</v>
      </c>
      <c r="B194" s="2">
        <v>45658</v>
      </c>
      <c r="C194" t="s">
        <v>27</v>
      </c>
      <c r="D194" t="s">
        <v>16</v>
      </c>
      <c r="E194">
        <v>81796.740000000005</v>
      </c>
      <c r="F194">
        <v>6177</v>
      </c>
      <c r="G194">
        <v>0.16400000000000001</v>
      </c>
      <c r="H194">
        <v>14</v>
      </c>
      <c r="I194">
        <v>87.9</v>
      </c>
      <c r="J194">
        <v>0.53</v>
      </c>
      <c r="K194">
        <v>0</v>
      </c>
      <c r="L194">
        <v>3.2</v>
      </c>
      <c r="M194">
        <v>643428.85</v>
      </c>
      <c r="N194">
        <v>94477.63</v>
      </c>
    </row>
    <row r="195" spans="1:14">
      <c r="A195" t="s">
        <v>70</v>
      </c>
      <c r="B195" s="2">
        <v>45689</v>
      </c>
      <c r="C195" t="s">
        <v>27</v>
      </c>
      <c r="D195" t="s">
        <v>16</v>
      </c>
      <c r="E195">
        <v>51133.43</v>
      </c>
      <c r="F195">
        <v>5150</v>
      </c>
      <c r="G195">
        <v>0.15</v>
      </c>
      <c r="H195">
        <v>12</v>
      </c>
      <c r="I195">
        <v>88.5</v>
      </c>
      <c r="J195">
        <v>1.54</v>
      </c>
      <c r="K195">
        <v>0</v>
      </c>
      <c r="L195">
        <v>3.2</v>
      </c>
      <c r="M195">
        <v>611924.27</v>
      </c>
      <c r="N195">
        <v>115488.75</v>
      </c>
    </row>
    <row r="196" spans="1:14">
      <c r="A196" t="s">
        <v>70</v>
      </c>
      <c r="B196" s="2">
        <v>45717</v>
      </c>
      <c r="C196" t="s">
        <v>27</v>
      </c>
      <c r="D196" t="s">
        <v>16</v>
      </c>
      <c r="E196">
        <v>40220.18</v>
      </c>
      <c r="F196">
        <v>3783</v>
      </c>
      <c r="G196">
        <v>8.8999999999999996E-2</v>
      </c>
      <c r="H196">
        <v>14</v>
      </c>
      <c r="I196">
        <v>86.6</v>
      </c>
      <c r="J196">
        <v>3.63</v>
      </c>
      <c r="K196">
        <v>0</v>
      </c>
      <c r="L196">
        <v>3.7</v>
      </c>
      <c r="M196">
        <v>559422.02</v>
      </c>
      <c r="N196">
        <v>73528.740000000005</v>
      </c>
    </row>
    <row r="197" spans="1:14">
      <c r="A197" t="s">
        <v>70</v>
      </c>
      <c r="B197" s="2">
        <v>45748</v>
      </c>
      <c r="C197" t="s">
        <v>27</v>
      </c>
      <c r="D197" t="s">
        <v>16</v>
      </c>
      <c r="E197">
        <v>41657.64</v>
      </c>
      <c r="F197">
        <v>3135</v>
      </c>
      <c r="G197">
        <v>0.22900000000000001</v>
      </c>
      <c r="H197">
        <v>7</v>
      </c>
      <c r="I197">
        <v>85.4</v>
      </c>
      <c r="J197">
        <v>13.48</v>
      </c>
      <c r="K197">
        <v>0</v>
      </c>
      <c r="M197">
        <v>449465.06</v>
      </c>
      <c r="N197">
        <v>65694.78</v>
      </c>
    </row>
    <row r="198" spans="1:14">
      <c r="A198" t="s">
        <v>71</v>
      </c>
      <c r="B198" s="2">
        <v>45658</v>
      </c>
      <c r="C198" t="s">
        <v>20</v>
      </c>
      <c r="D198" t="s">
        <v>16</v>
      </c>
      <c r="E198">
        <v>71851.45</v>
      </c>
      <c r="F198">
        <v>4970</v>
      </c>
      <c r="G198">
        <v>9.8000000000000004E-2</v>
      </c>
      <c r="H198">
        <v>11</v>
      </c>
      <c r="I198">
        <v>89.6</v>
      </c>
      <c r="J198">
        <v>0.2</v>
      </c>
      <c r="K198">
        <v>0</v>
      </c>
      <c r="L198">
        <v>4.2</v>
      </c>
      <c r="M198">
        <v>691447.43</v>
      </c>
      <c r="N198">
        <v>114077.69</v>
      </c>
    </row>
    <row r="199" spans="1:14">
      <c r="A199" t="s">
        <v>71</v>
      </c>
      <c r="B199" s="2">
        <v>45689</v>
      </c>
      <c r="C199" t="s">
        <v>20</v>
      </c>
      <c r="D199" t="s">
        <v>16</v>
      </c>
      <c r="E199">
        <v>54002.83</v>
      </c>
      <c r="F199">
        <v>4366</v>
      </c>
      <c r="G199">
        <v>2.7E-2</v>
      </c>
      <c r="H199">
        <v>15</v>
      </c>
      <c r="I199">
        <v>90.6</v>
      </c>
      <c r="J199">
        <v>12.82</v>
      </c>
      <c r="K199">
        <v>0</v>
      </c>
      <c r="L199">
        <v>4.5999999999999996</v>
      </c>
      <c r="M199">
        <v>574066.61</v>
      </c>
      <c r="N199">
        <v>124674.67</v>
      </c>
    </row>
    <row r="200" spans="1:14">
      <c r="A200" t="s">
        <v>71</v>
      </c>
      <c r="B200" s="2">
        <v>45717</v>
      </c>
      <c r="C200" t="s">
        <v>20</v>
      </c>
      <c r="D200" t="s">
        <v>16</v>
      </c>
      <c r="E200">
        <v>54479.33</v>
      </c>
      <c r="F200">
        <v>5012</v>
      </c>
      <c r="G200">
        <v>0.28399999999999997</v>
      </c>
      <c r="H200">
        <v>13</v>
      </c>
      <c r="I200">
        <v>86</v>
      </c>
      <c r="J200">
        <v>2.2400000000000002</v>
      </c>
      <c r="K200">
        <v>1</v>
      </c>
      <c r="L200">
        <v>4.3</v>
      </c>
      <c r="M200">
        <v>578949.84</v>
      </c>
      <c r="N200">
        <v>80253.649999999994</v>
      </c>
    </row>
    <row r="201" spans="1:14">
      <c r="A201" t="s">
        <v>71</v>
      </c>
      <c r="B201" s="2">
        <v>45748</v>
      </c>
      <c r="C201" t="s">
        <v>20</v>
      </c>
      <c r="D201" t="s">
        <v>16</v>
      </c>
      <c r="E201">
        <v>61391.8</v>
      </c>
      <c r="F201">
        <v>5575</v>
      </c>
      <c r="G201">
        <v>0.189</v>
      </c>
      <c r="H201">
        <v>18</v>
      </c>
      <c r="I201">
        <v>90</v>
      </c>
      <c r="J201">
        <v>1.8</v>
      </c>
      <c r="K201">
        <v>0</v>
      </c>
      <c r="L201">
        <v>4.8</v>
      </c>
      <c r="M201">
        <v>735786.64</v>
      </c>
      <c r="N201">
        <v>126540.66</v>
      </c>
    </row>
    <row r="202" spans="1:14">
      <c r="A202" t="s">
        <v>72</v>
      </c>
      <c r="B202" s="2">
        <v>45658</v>
      </c>
      <c r="C202" t="s">
        <v>15</v>
      </c>
      <c r="D202" t="s">
        <v>21</v>
      </c>
      <c r="E202">
        <v>22312.93</v>
      </c>
      <c r="F202">
        <v>5955</v>
      </c>
      <c r="G202">
        <v>0.123</v>
      </c>
      <c r="H202">
        <v>13</v>
      </c>
      <c r="I202">
        <v>84.2</v>
      </c>
      <c r="J202">
        <v>0.41</v>
      </c>
      <c r="K202">
        <v>1</v>
      </c>
      <c r="L202">
        <v>4.5999999999999996</v>
      </c>
      <c r="M202">
        <v>598904.9</v>
      </c>
      <c r="N202">
        <v>72861</v>
      </c>
    </row>
    <row r="203" spans="1:14">
      <c r="A203" t="s">
        <v>72</v>
      </c>
      <c r="B203" s="2">
        <v>45689</v>
      </c>
      <c r="C203" t="s">
        <v>15</v>
      </c>
      <c r="D203" t="s">
        <v>21</v>
      </c>
      <c r="E203">
        <v>78111.97</v>
      </c>
      <c r="F203">
        <v>6389</v>
      </c>
      <c r="G203">
        <v>0.15</v>
      </c>
      <c r="H203">
        <v>13</v>
      </c>
      <c r="I203">
        <v>83.9</v>
      </c>
      <c r="J203">
        <v>3.05</v>
      </c>
      <c r="K203">
        <v>0</v>
      </c>
      <c r="L203">
        <v>4.8</v>
      </c>
      <c r="M203">
        <v>787715.51</v>
      </c>
      <c r="N203">
        <v>128969.62</v>
      </c>
    </row>
    <row r="204" spans="1:14">
      <c r="A204" t="s">
        <v>72</v>
      </c>
      <c r="B204" s="2">
        <v>45717</v>
      </c>
      <c r="C204" t="s">
        <v>15</v>
      </c>
      <c r="D204" t="s">
        <v>21</v>
      </c>
      <c r="E204">
        <v>35203.230000000003</v>
      </c>
      <c r="F204">
        <v>6896</v>
      </c>
      <c r="G204">
        <v>3.2000000000000001E-2</v>
      </c>
      <c r="H204">
        <v>14</v>
      </c>
      <c r="I204">
        <v>80.8</v>
      </c>
      <c r="J204">
        <v>8.44</v>
      </c>
      <c r="K204">
        <v>1</v>
      </c>
      <c r="L204">
        <v>5</v>
      </c>
      <c r="M204">
        <v>607084.92000000004</v>
      </c>
      <c r="N204">
        <v>98558.49</v>
      </c>
    </row>
    <row r="205" spans="1:14">
      <c r="A205" t="s">
        <v>72</v>
      </c>
      <c r="B205" s="2">
        <v>45748</v>
      </c>
      <c r="C205" t="s">
        <v>15</v>
      </c>
      <c r="D205" t="s">
        <v>21</v>
      </c>
      <c r="E205">
        <v>64104.28</v>
      </c>
      <c r="F205">
        <v>6015</v>
      </c>
      <c r="G205">
        <v>0.127</v>
      </c>
      <c r="H205">
        <v>15</v>
      </c>
      <c r="I205">
        <v>88.7</v>
      </c>
      <c r="J205">
        <v>0.78</v>
      </c>
      <c r="K205">
        <v>0</v>
      </c>
      <c r="L205">
        <v>4</v>
      </c>
      <c r="M205">
        <v>650795.49</v>
      </c>
      <c r="N205">
        <v>103035.89</v>
      </c>
    </row>
    <row r="206" spans="1:14">
      <c r="A206" t="s">
        <v>73</v>
      </c>
      <c r="B206" s="2">
        <v>45658</v>
      </c>
      <c r="C206" t="s">
        <v>15</v>
      </c>
      <c r="D206" t="s">
        <v>28</v>
      </c>
      <c r="E206">
        <v>92090.14</v>
      </c>
      <c r="F206">
        <v>9476</v>
      </c>
      <c r="G206">
        <v>7.0000000000000007E-2</v>
      </c>
      <c r="H206">
        <v>24</v>
      </c>
      <c r="I206">
        <v>94.3</v>
      </c>
      <c r="J206">
        <v>0.87</v>
      </c>
      <c r="K206">
        <v>0</v>
      </c>
      <c r="L206">
        <v>3.7</v>
      </c>
      <c r="M206">
        <v>825060.52</v>
      </c>
      <c r="N206">
        <v>143613.15</v>
      </c>
    </row>
    <row r="207" spans="1:14">
      <c r="A207" t="s">
        <v>73</v>
      </c>
      <c r="B207" s="2">
        <v>45689</v>
      </c>
      <c r="C207" t="s">
        <v>15</v>
      </c>
      <c r="D207" t="s">
        <v>28</v>
      </c>
      <c r="E207">
        <v>54300.87</v>
      </c>
      <c r="F207">
        <v>7875</v>
      </c>
      <c r="G207">
        <v>0.107</v>
      </c>
      <c r="H207">
        <v>19</v>
      </c>
      <c r="I207">
        <v>94.1</v>
      </c>
      <c r="J207">
        <v>0.95</v>
      </c>
      <c r="K207">
        <v>0</v>
      </c>
      <c r="L207">
        <v>3.7</v>
      </c>
      <c r="M207">
        <v>795464.47</v>
      </c>
      <c r="N207">
        <v>161150.51999999999</v>
      </c>
    </row>
    <row r="208" spans="1:14">
      <c r="A208" t="s">
        <v>73</v>
      </c>
      <c r="B208" s="2">
        <v>45717</v>
      </c>
      <c r="C208" t="s">
        <v>15</v>
      </c>
      <c r="D208" t="s">
        <v>28</v>
      </c>
      <c r="E208">
        <v>37983.35</v>
      </c>
      <c r="F208">
        <v>9283</v>
      </c>
      <c r="G208">
        <v>0.14899999999999999</v>
      </c>
      <c r="H208">
        <v>19</v>
      </c>
      <c r="I208">
        <v>83.2</v>
      </c>
      <c r="J208">
        <v>3.82</v>
      </c>
      <c r="K208">
        <v>0</v>
      </c>
      <c r="L208">
        <v>3.7</v>
      </c>
      <c r="M208">
        <v>671868.59</v>
      </c>
      <c r="N208">
        <v>71003.28</v>
      </c>
    </row>
    <row r="209" spans="1:14">
      <c r="A209" t="s">
        <v>73</v>
      </c>
      <c r="B209" s="2">
        <v>45748</v>
      </c>
      <c r="C209" t="s">
        <v>15</v>
      </c>
      <c r="D209" t="s">
        <v>28</v>
      </c>
      <c r="E209">
        <v>56413.83</v>
      </c>
      <c r="F209">
        <v>8303</v>
      </c>
      <c r="G209">
        <v>0.11600000000000001</v>
      </c>
      <c r="H209">
        <v>18</v>
      </c>
      <c r="I209">
        <v>93.6</v>
      </c>
      <c r="J209">
        <v>2.7</v>
      </c>
      <c r="K209">
        <v>0</v>
      </c>
      <c r="L209">
        <v>3.7</v>
      </c>
      <c r="M209">
        <v>675917.63</v>
      </c>
      <c r="N209">
        <v>112564.75</v>
      </c>
    </row>
    <row r="210" spans="1:14">
      <c r="A210" t="s">
        <v>74</v>
      </c>
      <c r="B210" s="2">
        <v>45658</v>
      </c>
      <c r="C210" t="s">
        <v>15</v>
      </c>
      <c r="D210" t="s">
        <v>18</v>
      </c>
      <c r="E210">
        <v>63457.19</v>
      </c>
      <c r="F210">
        <v>10125</v>
      </c>
      <c r="G210">
        <v>9.7000000000000003E-2</v>
      </c>
      <c r="H210">
        <v>24</v>
      </c>
      <c r="I210">
        <v>87</v>
      </c>
      <c r="J210">
        <v>3.84</v>
      </c>
      <c r="K210">
        <v>1</v>
      </c>
      <c r="L210">
        <v>3.7</v>
      </c>
      <c r="M210">
        <v>810446.53</v>
      </c>
      <c r="N210">
        <v>200575.34</v>
      </c>
    </row>
    <row r="211" spans="1:14">
      <c r="A211" t="s">
        <v>74</v>
      </c>
      <c r="B211" s="2">
        <v>45689</v>
      </c>
      <c r="C211" t="s">
        <v>15</v>
      </c>
      <c r="D211" t="s">
        <v>18</v>
      </c>
      <c r="E211">
        <v>62949.7</v>
      </c>
      <c r="F211">
        <v>9458</v>
      </c>
      <c r="G211">
        <v>0.17100000000000001</v>
      </c>
      <c r="H211">
        <v>19</v>
      </c>
      <c r="I211">
        <v>84.9</v>
      </c>
      <c r="J211">
        <v>5.09</v>
      </c>
      <c r="K211">
        <v>0</v>
      </c>
      <c r="L211">
        <v>3.3</v>
      </c>
      <c r="M211">
        <v>691288.19</v>
      </c>
      <c r="N211">
        <v>159074.14000000001</v>
      </c>
    </row>
    <row r="212" spans="1:14">
      <c r="A212" t="s">
        <v>74</v>
      </c>
      <c r="B212" s="2">
        <v>45717</v>
      </c>
      <c r="C212" t="s">
        <v>15</v>
      </c>
      <c r="D212" t="s">
        <v>18</v>
      </c>
      <c r="E212">
        <v>107970.19</v>
      </c>
      <c r="F212">
        <v>12870</v>
      </c>
      <c r="G212">
        <v>2.9000000000000001E-2</v>
      </c>
      <c r="H212">
        <v>31</v>
      </c>
      <c r="I212">
        <v>91.7</v>
      </c>
      <c r="J212">
        <v>3.82</v>
      </c>
      <c r="K212">
        <v>1</v>
      </c>
      <c r="L212">
        <v>3.7</v>
      </c>
      <c r="M212">
        <v>946833.54</v>
      </c>
      <c r="N212">
        <v>184540.31</v>
      </c>
    </row>
    <row r="213" spans="1:14">
      <c r="A213" t="s">
        <v>74</v>
      </c>
      <c r="B213" s="2">
        <v>45748</v>
      </c>
      <c r="C213" t="s">
        <v>15</v>
      </c>
      <c r="D213" t="s">
        <v>18</v>
      </c>
      <c r="E213">
        <v>49405.75</v>
      </c>
      <c r="F213">
        <v>9752</v>
      </c>
      <c r="G213">
        <v>9.2999999999999999E-2</v>
      </c>
      <c r="H213">
        <v>21</v>
      </c>
      <c r="I213">
        <v>87</v>
      </c>
      <c r="J213">
        <v>12.28</v>
      </c>
      <c r="K213">
        <v>0</v>
      </c>
      <c r="L213">
        <v>4.0999999999999996</v>
      </c>
      <c r="M213">
        <v>761963.23</v>
      </c>
      <c r="N213">
        <v>150113.60999999999</v>
      </c>
    </row>
    <row r="214" spans="1:14">
      <c r="A214" t="s">
        <v>75</v>
      </c>
      <c r="B214" s="2">
        <v>45658</v>
      </c>
      <c r="C214" t="s">
        <v>27</v>
      </c>
      <c r="D214" t="s">
        <v>16</v>
      </c>
      <c r="E214">
        <v>50887.46</v>
      </c>
      <c r="F214">
        <v>9505</v>
      </c>
      <c r="G214">
        <v>9.0999999999999998E-2</v>
      </c>
      <c r="H214">
        <v>25</v>
      </c>
      <c r="I214">
        <v>89.7</v>
      </c>
      <c r="J214">
        <v>2.8</v>
      </c>
      <c r="K214">
        <v>0</v>
      </c>
      <c r="L214">
        <v>4.3</v>
      </c>
      <c r="M214">
        <v>812152.6</v>
      </c>
      <c r="N214">
        <v>138419.43</v>
      </c>
    </row>
    <row r="215" spans="1:14">
      <c r="A215" t="s">
        <v>75</v>
      </c>
      <c r="B215" s="2">
        <v>45689</v>
      </c>
      <c r="C215" t="s">
        <v>27</v>
      </c>
      <c r="D215" t="s">
        <v>16</v>
      </c>
      <c r="E215">
        <v>41819.449999999997</v>
      </c>
      <c r="F215">
        <v>9412</v>
      </c>
      <c r="G215">
        <v>0.15</v>
      </c>
      <c r="H215">
        <v>22</v>
      </c>
      <c r="I215">
        <v>91</v>
      </c>
      <c r="J215">
        <v>3.67</v>
      </c>
      <c r="K215">
        <v>0</v>
      </c>
      <c r="L215">
        <v>4.2</v>
      </c>
      <c r="M215">
        <v>804975.5</v>
      </c>
      <c r="N215">
        <v>140054.5</v>
      </c>
    </row>
    <row r="216" spans="1:14">
      <c r="A216" t="s">
        <v>75</v>
      </c>
      <c r="B216" s="2">
        <v>45717</v>
      </c>
      <c r="C216" t="s">
        <v>27</v>
      </c>
      <c r="D216" t="s">
        <v>16</v>
      </c>
      <c r="E216">
        <v>35296.54</v>
      </c>
      <c r="F216">
        <v>9644</v>
      </c>
      <c r="G216">
        <v>0</v>
      </c>
      <c r="H216">
        <v>22</v>
      </c>
      <c r="I216">
        <v>88</v>
      </c>
      <c r="J216">
        <v>2.81</v>
      </c>
      <c r="K216">
        <v>0</v>
      </c>
      <c r="L216">
        <v>4.7</v>
      </c>
      <c r="M216">
        <v>752321.72</v>
      </c>
      <c r="N216">
        <v>137788.51</v>
      </c>
    </row>
    <row r="217" spans="1:14">
      <c r="A217" t="s">
        <v>75</v>
      </c>
      <c r="B217" s="2">
        <v>45748</v>
      </c>
      <c r="C217" t="s">
        <v>27</v>
      </c>
      <c r="D217" t="s">
        <v>16</v>
      </c>
      <c r="E217">
        <v>47391.09</v>
      </c>
      <c r="F217">
        <v>11224</v>
      </c>
      <c r="G217">
        <v>0.14699999999999999</v>
      </c>
      <c r="H217">
        <v>25</v>
      </c>
      <c r="I217">
        <v>88.4</v>
      </c>
      <c r="J217">
        <v>2.44</v>
      </c>
      <c r="K217">
        <v>0</v>
      </c>
      <c r="L217">
        <v>4.9000000000000004</v>
      </c>
      <c r="M217">
        <v>836908.24</v>
      </c>
      <c r="N217">
        <v>141090.26</v>
      </c>
    </row>
    <row r="218" spans="1:14">
      <c r="A218" t="s">
        <v>76</v>
      </c>
      <c r="B218" s="2">
        <v>45658</v>
      </c>
      <c r="C218" t="s">
        <v>20</v>
      </c>
      <c r="D218" t="s">
        <v>21</v>
      </c>
      <c r="E218">
        <v>69180.539999999994</v>
      </c>
      <c r="F218">
        <v>5394</v>
      </c>
      <c r="G218">
        <v>0.126</v>
      </c>
      <c r="H218">
        <v>12</v>
      </c>
      <c r="I218">
        <v>82.9</v>
      </c>
      <c r="J218">
        <v>3.27</v>
      </c>
      <c r="K218">
        <v>0</v>
      </c>
      <c r="L218">
        <v>3.3</v>
      </c>
      <c r="M218">
        <v>674289.1</v>
      </c>
      <c r="N218">
        <v>117773.79</v>
      </c>
    </row>
    <row r="219" spans="1:14">
      <c r="A219" t="s">
        <v>76</v>
      </c>
      <c r="B219" s="2">
        <v>45689</v>
      </c>
      <c r="C219" t="s">
        <v>20</v>
      </c>
      <c r="D219" t="s">
        <v>21</v>
      </c>
      <c r="E219">
        <v>33987.33</v>
      </c>
      <c r="F219">
        <v>5014</v>
      </c>
      <c r="G219">
        <v>0.246</v>
      </c>
      <c r="H219">
        <v>17</v>
      </c>
      <c r="I219">
        <v>94.3</v>
      </c>
      <c r="J219">
        <v>10.34</v>
      </c>
      <c r="K219">
        <v>0</v>
      </c>
      <c r="L219">
        <v>3.9</v>
      </c>
      <c r="M219">
        <v>622892.42000000004</v>
      </c>
      <c r="N219">
        <v>101032.52</v>
      </c>
    </row>
    <row r="220" spans="1:14">
      <c r="A220" t="s">
        <v>76</v>
      </c>
      <c r="B220" s="2">
        <v>45717</v>
      </c>
      <c r="C220" t="s">
        <v>20</v>
      </c>
      <c r="D220" t="s">
        <v>21</v>
      </c>
      <c r="E220">
        <v>58785.33</v>
      </c>
      <c r="F220">
        <v>4467</v>
      </c>
      <c r="G220">
        <v>0.22900000000000001</v>
      </c>
      <c r="H220">
        <v>14</v>
      </c>
      <c r="I220">
        <v>90.7</v>
      </c>
      <c r="J220">
        <v>1.92</v>
      </c>
      <c r="K220">
        <v>0</v>
      </c>
      <c r="L220">
        <v>3.7</v>
      </c>
      <c r="M220">
        <v>673348.56</v>
      </c>
      <c r="N220">
        <v>69464.59</v>
      </c>
    </row>
    <row r="221" spans="1:14">
      <c r="A221" t="s">
        <v>76</v>
      </c>
      <c r="B221" s="2">
        <v>45748</v>
      </c>
      <c r="C221" t="s">
        <v>20</v>
      </c>
      <c r="D221" t="s">
        <v>21</v>
      </c>
      <c r="E221">
        <v>16451.849999999999</v>
      </c>
      <c r="F221">
        <v>4678</v>
      </c>
      <c r="G221">
        <v>0.13300000000000001</v>
      </c>
      <c r="H221">
        <v>11</v>
      </c>
      <c r="I221">
        <v>95.9</v>
      </c>
      <c r="J221">
        <v>3.1</v>
      </c>
      <c r="K221">
        <v>0</v>
      </c>
      <c r="L221">
        <v>3.9</v>
      </c>
      <c r="M221">
        <v>606278.30000000005</v>
      </c>
      <c r="N221">
        <v>102213.26</v>
      </c>
    </row>
    <row r="222" spans="1:14">
      <c r="A222" t="s">
        <v>77</v>
      </c>
      <c r="B222" s="2">
        <v>45658</v>
      </c>
      <c r="C222" t="s">
        <v>15</v>
      </c>
      <c r="D222" t="s">
        <v>18</v>
      </c>
      <c r="E222">
        <v>53367.73</v>
      </c>
      <c r="F222">
        <v>7291</v>
      </c>
      <c r="G222">
        <v>0.14599999999999999</v>
      </c>
      <c r="H222">
        <v>18</v>
      </c>
      <c r="I222">
        <v>90.6</v>
      </c>
      <c r="J222">
        <v>6.34</v>
      </c>
      <c r="K222">
        <v>1</v>
      </c>
      <c r="L222">
        <v>3.8</v>
      </c>
      <c r="M222">
        <v>712219.81</v>
      </c>
      <c r="N222">
        <v>85906.54</v>
      </c>
    </row>
    <row r="223" spans="1:14">
      <c r="A223" t="s">
        <v>77</v>
      </c>
      <c r="B223" s="2">
        <v>45689</v>
      </c>
      <c r="C223" t="s">
        <v>15</v>
      </c>
      <c r="D223" t="s">
        <v>18</v>
      </c>
      <c r="E223">
        <v>27194.639999999999</v>
      </c>
      <c r="F223">
        <v>7404</v>
      </c>
      <c r="G223">
        <v>8.7999999999999995E-2</v>
      </c>
      <c r="H223">
        <v>18</v>
      </c>
      <c r="I223">
        <v>90.2</v>
      </c>
      <c r="J223">
        <v>1.2</v>
      </c>
      <c r="K223">
        <v>0</v>
      </c>
      <c r="L223">
        <v>3.4</v>
      </c>
      <c r="M223">
        <v>672670.54</v>
      </c>
      <c r="N223">
        <v>132684.18</v>
      </c>
    </row>
    <row r="224" spans="1:14">
      <c r="A224" t="s">
        <v>77</v>
      </c>
      <c r="B224" s="2">
        <v>45717</v>
      </c>
      <c r="C224" t="s">
        <v>15</v>
      </c>
      <c r="D224" t="s">
        <v>18</v>
      </c>
      <c r="E224">
        <v>66962.740000000005</v>
      </c>
      <c r="F224">
        <v>7880</v>
      </c>
      <c r="G224">
        <v>0.11600000000000001</v>
      </c>
      <c r="H224">
        <v>19</v>
      </c>
      <c r="I224">
        <v>90.4</v>
      </c>
      <c r="J224">
        <v>4.5</v>
      </c>
      <c r="K224">
        <v>0</v>
      </c>
      <c r="L224">
        <v>3.3</v>
      </c>
      <c r="M224">
        <v>732667.92</v>
      </c>
      <c r="N224">
        <v>128654.46</v>
      </c>
    </row>
    <row r="225" spans="1:14">
      <c r="A225" t="s">
        <v>77</v>
      </c>
      <c r="B225" s="2">
        <v>45748</v>
      </c>
      <c r="C225" t="s">
        <v>15</v>
      </c>
      <c r="D225" t="s">
        <v>18</v>
      </c>
      <c r="E225">
        <v>73540.990000000005</v>
      </c>
      <c r="F225">
        <v>8773</v>
      </c>
      <c r="G225">
        <v>3.5000000000000003E-2</v>
      </c>
      <c r="H225">
        <v>21</v>
      </c>
      <c r="I225">
        <v>84.4</v>
      </c>
      <c r="J225">
        <v>6.68</v>
      </c>
      <c r="K225">
        <v>0</v>
      </c>
      <c r="L225">
        <v>3.6</v>
      </c>
      <c r="M225">
        <v>723531.4</v>
      </c>
      <c r="N225">
        <v>108794.85</v>
      </c>
    </row>
    <row r="226" spans="1:14">
      <c r="A226" t="s">
        <v>78</v>
      </c>
      <c r="B226" s="2">
        <v>45658</v>
      </c>
      <c r="C226" t="s">
        <v>15</v>
      </c>
      <c r="D226" t="s">
        <v>28</v>
      </c>
      <c r="E226">
        <v>68212.289999999994</v>
      </c>
      <c r="F226">
        <v>4713</v>
      </c>
      <c r="G226">
        <v>0.19800000000000001</v>
      </c>
      <c r="H226">
        <v>15</v>
      </c>
      <c r="I226">
        <v>82.6</v>
      </c>
      <c r="J226">
        <v>4.07</v>
      </c>
      <c r="K226">
        <v>1</v>
      </c>
      <c r="L226">
        <v>3</v>
      </c>
      <c r="M226">
        <v>641564.6</v>
      </c>
      <c r="N226">
        <v>90468.96</v>
      </c>
    </row>
    <row r="227" spans="1:14">
      <c r="A227" t="s">
        <v>78</v>
      </c>
      <c r="B227" s="2">
        <v>45689</v>
      </c>
      <c r="C227" t="s">
        <v>15</v>
      </c>
      <c r="D227" t="s">
        <v>28</v>
      </c>
      <c r="E227">
        <v>57225.98</v>
      </c>
      <c r="F227">
        <v>2842</v>
      </c>
      <c r="G227">
        <v>0.112</v>
      </c>
      <c r="H227">
        <v>10</v>
      </c>
      <c r="I227">
        <v>79.5</v>
      </c>
      <c r="J227">
        <v>5.45</v>
      </c>
      <c r="K227">
        <v>0</v>
      </c>
      <c r="L227">
        <v>3.4</v>
      </c>
      <c r="M227">
        <v>536545.49</v>
      </c>
      <c r="N227">
        <v>97917.45</v>
      </c>
    </row>
    <row r="228" spans="1:14">
      <c r="A228" t="s">
        <v>78</v>
      </c>
      <c r="B228" s="2">
        <v>45717</v>
      </c>
      <c r="C228" t="s">
        <v>15</v>
      </c>
      <c r="D228" t="s">
        <v>28</v>
      </c>
      <c r="E228">
        <v>42932.02</v>
      </c>
      <c r="F228">
        <v>3872</v>
      </c>
      <c r="G228">
        <v>0.17100000000000001</v>
      </c>
      <c r="H228">
        <v>12</v>
      </c>
      <c r="I228">
        <v>83.2</v>
      </c>
      <c r="J228">
        <v>15.58</v>
      </c>
      <c r="K228">
        <v>0</v>
      </c>
      <c r="L228">
        <v>3.3</v>
      </c>
      <c r="M228">
        <v>527681.56000000006</v>
      </c>
      <c r="N228">
        <v>63153.05</v>
      </c>
    </row>
    <row r="229" spans="1:14">
      <c r="A229" t="s">
        <v>78</v>
      </c>
      <c r="B229" s="2">
        <v>45748</v>
      </c>
      <c r="C229" t="s">
        <v>15</v>
      </c>
      <c r="D229" t="s">
        <v>28</v>
      </c>
      <c r="E229">
        <v>39341.449999999997</v>
      </c>
      <c r="F229">
        <v>1375</v>
      </c>
      <c r="G229">
        <v>9.2999999999999999E-2</v>
      </c>
      <c r="H229">
        <v>5</v>
      </c>
      <c r="I229">
        <v>95</v>
      </c>
      <c r="J229">
        <v>5.32</v>
      </c>
      <c r="K229">
        <v>0</v>
      </c>
      <c r="M229">
        <v>529598.93999999994</v>
      </c>
      <c r="N229">
        <v>84334.33</v>
      </c>
    </row>
    <row r="230" spans="1:14">
      <c r="A230" t="s">
        <v>79</v>
      </c>
      <c r="B230" s="2">
        <v>45658</v>
      </c>
      <c r="C230" t="s">
        <v>15</v>
      </c>
      <c r="D230" t="s">
        <v>18</v>
      </c>
      <c r="E230">
        <v>37324.230000000003</v>
      </c>
      <c r="F230">
        <v>5957</v>
      </c>
      <c r="G230">
        <v>7.0999999999999994E-2</v>
      </c>
      <c r="H230">
        <v>12</v>
      </c>
      <c r="I230">
        <v>85.9</v>
      </c>
      <c r="J230">
        <v>0.37</v>
      </c>
      <c r="K230">
        <v>0</v>
      </c>
      <c r="L230">
        <v>3.8</v>
      </c>
      <c r="M230">
        <v>570963.31000000006</v>
      </c>
      <c r="N230">
        <v>87342.25</v>
      </c>
    </row>
    <row r="231" spans="1:14">
      <c r="A231" t="s">
        <v>79</v>
      </c>
      <c r="B231" s="2">
        <v>45689</v>
      </c>
      <c r="C231" t="s">
        <v>15</v>
      </c>
      <c r="D231" t="s">
        <v>18</v>
      </c>
      <c r="E231">
        <v>113736</v>
      </c>
      <c r="F231">
        <v>8961</v>
      </c>
      <c r="G231">
        <v>0.20200000000000001</v>
      </c>
      <c r="H231">
        <v>24</v>
      </c>
      <c r="I231">
        <v>86.2</v>
      </c>
      <c r="J231">
        <v>21.63</v>
      </c>
      <c r="K231">
        <v>0</v>
      </c>
      <c r="L231">
        <v>4</v>
      </c>
      <c r="M231">
        <v>870937.4</v>
      </c>
      <c r="N231">
        <v>175282.74</v>
      </c>
    </row>
    <row r="232" spans="1:14">
      <c r="A232" t="s">
        <v>79</v>
      </c>
      <c r="B232" s="2">
        <v>45717</v>
      </c>
      <c r="C232" t="s">
        <v>15</v>
      </c>
      <c r="D232" t="s">
        <v>18</v>
      </c>
      <c r="E232">
        <v>33173.949999999997</v>
      </c>
      <c r="F232">
        <v>6545</v>
      </c>
      <c r="G232">
        <v>0.16900000000000001</v>
      </c>
      <c r="H232">
        <v>15</v>
      </c>
      <c r="I232">
        <v>84.4</v>
      </c>
      <c r="J232">
        <v>2.48</v>
      </c>
      <c r="K232">
        <v>0</v>
      </c>
      <c r="L232">
        <v>3.9</v>
      </c>
      <c r="M232">
        <v>596969.27</v>
      </c>
      <c r="N232">
        <v>105669.51</v>
      </c>
    </row>
    <row r="233" spans="1:14">
      <c r="A233" t="s">
        <v>79</v>
      </c>
      <c r="B233" s="2">
        <v>45748</v>
      </c>
      <c r="C233" t="s">
        <v>15</v>
      </c>
      <c r="D233" t="s">
        <v>18</v>
      </c>
      <c r="E233">
        <v>25818.080000000002</v>
      </c>
      <c r="F233">
        <v>5457</v>
      </c>
      <c r="G233">
        <v>0</v>
      </c>
      <c r="H233">
        <v>11</v>
      </c>
      <c r="I233">
        <v>95.4</v>
      </c>
      <c r="K233">
        <v>0</v>
      </c>
      <c r="L233">
        <v>3.7</v>
      </c>
      <c r="M233">
        <v>647512.85</v>
      </c>
      <c r="N233">
        <v>153835.57</v>
      </c>
    </row>
    <row r="234" spans="1:14">
      <c r="A234" t="s">
        <v>80</v>
      </c>
      <c r="B234" s="2">
        <v>45658</v>
      </c>
      <c r="C234" t="s">
        <v>27</v>
      </c>
      <c r="D234" t="s">
        <v>16</v>
      </c>
      <c r="E234">
        <v>47241.919999999998</v>
      </c>
      <c r="F234">
        <v>4264</v>
      </c>
      <c r="G234">
        <v>6.9000000000000006E-2</v>
      </c>
      <c r="H234">
        <v>13</v>
      </c>
      <c r="I234">
        <v>95.3</v>
      </c>
      <c r="J234">
        <v>0.85</v>
      </c>
      <c r="K234">
        <v>0</v>
      </c>
      <c r="L234">
        <v>4.3</v>
      </c>
      <c r="M234">
        <v>658072.14</v>
      </c>
      <c r="N234">
        <v>110595.89</v>
      </c>
    </row>
    <row r="235" spans="1:14">
      <c r="A235" t="s">
        <v>80</v>
      </c>
      <c r="B235" s="2">
        <v>45689</v>
      </c>
      <c r="C235" t="s">
        <v>27</v>
      </c>
      <c r="D235" t="s">
        <v>16</v>
      </c>
      <c r="E235">
        <v>61650.79</v>
      </c>
      <c r="F235">
        <v>5321</v>
      </c>
      <c r="G235">
        <v>0.126</v>
      </c>
      <c r="H235">
        <v>17</v>
      </c>
      <c r="I235">
        <v>89.2</v>
      </c>
      <c r="J235">
        <v>2.13</v>
      </c>
      <c r="K235">
        <v>0</v>
      </c>
      <c r="L235">
        <v>4</v>
      </c>
      <c r="M235">
        <v>723305.11</v>
      </c>
      <c r="N235">
        <v>128468.7</v>
      </c>
    </row>
    <row r="236" spans="1:14">
      <c r="A236" t="s">
        <v>80</v>
      </c>
      <c r="B236" s="2">
        <v>45717</v>
      </c>
      <c r="C236" t="s">
        <v>27</v>
      </c>
      <c r="D236" t="s">
        <v>16</v>
      </c>
      <c r="E236">
        <v>62582.71</v>
      </c>
      <c r="F236">
        <v>5479</v>
      </c>
      <c r="G236">
        <v>4.8000000000000001E-2</v>
      </c>
      <c r="H236">
        <v>16</v>
      </c>
      <c r="I236">
        <v>81.2</v>
      </c>
      <c r="J236">
        <v>1.46</v>
      </c>
      <c r="K236">
        <v>0</v>
      </c>
      <c r="L236">
        <v>4.5</v>
      </c>
      <c r="M236">
        <v>640666.53</v>
      </c>
      <c r="N236">
        <v>134919.16</v>
      </c>
    </row>
    <row r="237" spans="1:14">
      <c r="A237" t="s">
        <v>80</v>
      </c>
      <c r="B237" s="2">
        <v>45748</v>
      </c>
      <c r="C237" t="s">
        <v>27</v>
      </c>
      <c r="D237" t="s">
        <v>16</v>
      </c>
      <c r="E237">
        <v>47944.14</v>
      </c>
      <c r="F237">
        <v>6169</v>
      </c>
      <c r="G237">
        <v>0.11899999999999999</v>
      </c>
      <c r="H237">
        <v>17</v>
      </c>
      <c r="I237">
        <v>92.2</v>
      </c>
      <c r="J237">
        <v>3.02</v>
      </c>
      <c r="K237">
        <v>0</v>
      </c>
      <c r="L237">
        <v>4.0999999999999996</v>
      </c>
      <c r="M237">
        <v>670629.48</v>
      </c>
      <c r="N237">
        <v>100140.8</v>
      </c>
    </row>
    <row r="238" spans="1:14">
      <c r="A238" t="s">
        <v>81</v>
      </c>
      <c r="B238" s="2">
        <v>45658</v>
      </c>
      <c r="C238" t="s">
        <v>27</v>
      </c>
      <c r="D238" t="s">
        <v>28</v>
      </c>
      <c r="E238">
        <v>46495.4</v>
      </c>
      <c r="F238">
        <v>9908</v>
      </c>
      <c r="G238">
        <v>0.121</v>
      </c>
      <c r="H238">
        <v>22</v>
      </c>
      <c r="I238">
        <v>89.4</v>
      </c>
      <c r="J238">
        <v>3.22</v>
      </c>
      <c r="K238">
        <v>0</v>
      </c>
      <c r="L238">
        <v>3.7</v>
      </c>
      <c r="M238">
        <v>721079.35</v>
      </c>
      <c r="N238">
        <v>115295.05</v>
      </c>
    </row>
    <row r="239" spans="1:14">
      <c r="A239" t="s">
        <v>81</v>
      </c>
      <c r="B239" s="2">
        <v>45689</v>
      </c>
      <c r="C239" t="s">
        <v>27</v>
      </c>
      <c r="D239" t="s">
        <v>28</v>
      </c>
      <c r="E239">
        <v>72961.95</v>
      </c>
      <c r="F239">
        <v>9996</v>
      </c>
      <c r="G239">
        <v>0.106</v>
      </c>
      <c r="H239">
        <v>22</v>
      </c>
      <c r="I239">
        <v>89.1</v>
      </c>
      <c r="J239">
        <v>15.66</v>
      </c>
      <c r="K239">
        <v>0</v>
      </c>
      <c r="L239">
        <v>3.4</v>
      </c>
      <c r="M239">
        <v>810355.02</v>
      </c>
      <c r="N239">
        <v>131510</v>
      </c>
    </row>
    <row r="240" spans="1:14">
      <c r="A240" t="s">
        <v>81</v>
      </c>
      <c r="B240" s="2">
        <v>45717</v>
      </c>
      <c r="C240" t="s">
        <v>27</v>
      </c>
      <c r="D240" t="s">
        <v>28</v>
      </c>
      <c r="E240">
        <v>59060.05</v>
      </c>
      <c r="F240">
        <v>9702</v>
      </c>
      <c r="G240">
        <v>0.20100000000000001</v>
      </c>
      <c r="H240">
        <v>23</v>
      </c>
      <c r="I240">
        <v>80.900000000000006</v>
      </c>
      <c r="J240">
        <v>6.96</v>
      </c>
      <c r="K240">
        <v>0</v>
      </c>
      <c r="L240">
        <v>3.2</v>
      </c>
      <c r="M240">
        <v>761919.25</v>
      </c>
      <c r="N240">
        <v>111893.06</v>
      </c>
    </row>
    <row r="241" spans="1:14">
      <c r="A241" t="s">
        <v>81</v>
      </c>
      <c r="B241" s="2">
        <v>45748</v>
      </c>
      <c r="C241" t="s">
        <v>27</v>
      </c>
      <c r="D241" t="s">
        <v>28</v>
      </c>
      <c r="E241">
        <v>26248.1</v>
      </c>
      <c r="F241">
        <v>9314</v>
      </c>
      <c r="G241">
        <v>0.186</v>
      </c>
      <c r="H241">
        <v>21</v>
      </c>
      <c r="I241">
        <v>83.7</v>
      </c>
      <c r="J241">
        <v>4.62</v>
      </c>
      <c r="K241">
        <v>0</v>
      </c>
      <c r="L241">
        <v>3.3</v>
      </c>
      <c r="M241">
        <v>737070.18</v>
      </c>
      <c r="N241">
        <v>117593.97</v>
      </c>
    </row>
    <row r="242" spans="1:14">
      <c r="A242" t="s">
        <v>82</v>
      </c>
      <c r="B242" s="2">
        <v>45658</v>
      </c>
      <c r="C242" t="s">
        <v>24</v>
      </c>
      <c r="D242" t="s">
        <v>21</v>
      </c>
      <c r="E242">
        <v>69900.12</v>
      </c>
      <c r="F242">
        <v>8055</v>
      </c>
      <c r="G242">
        <v>0.28100000000000003</v>
      </c>
      <c r="H242">
        <v>22</v>
      </c>
      <c r="I242">
        <v>85.6</v>
      </c>
      <c r="J242">
        <v>10.68</v>
      </c>
      <c r="K242">
        <v>1</v>
      </c>
      <c r="L242">
        <v>2.9</v>
      </c>
      <c r="M242">
        <v>776992.93</v>
      </c>
      <c r="N242">
        <v>101598.32</v>
      </c>
    </row>
    <row r="243" spans="1:14">
      <c r="A243" t="s">
        <v>82</v>
      </c>
      <c r="B243" s="2">
        <v>45689</v>
      </c>
      <c r="C243" t="s">
        <v>24</v>
      </c>
      <c r="D243" t="s">
        <v>21</v>
      </c>
      <c r="E243">
        <v>51781.599999999999</v>
      </c>
      <c r="F243">
        <v>5648</v>
      </c>
      <c r="G243">
        <v>5.8999999999999997E-2</v>
      </c>
      <c r="H243">
        <v>13</v>
      </c>
      <c r="I243">
        <v>85.5</v>
      </c>
      <c r="J243">
        <v>4.04</v>
      </c>
      <c r="K243">
        <v>0</v>
      </c>
      <c r="L243">
        <v>3.7</v>
      </c>
      <c r="M243">
        <v>676337.41</v>
      </c>
      <c r="N243">
        <v>104355.77</v>
      </c>
    </row>
    <row r="244" spans="1:14">
      <c r="A244" t="s">
        <v>82</v>
      </c>
      <c r="B244" s="2">
        <v>45717</v>
      </c>
      <c r="C244" t="s">
        <v>24</v>
      </c>
      <c r="D244" t="s">
        <v>21</v>
      </c>
      <c r="E244">
        <v>70799.64</v>
      </c>
      <c r="F244">
        <v>10076</v>
      </c>
      <c r="G244">
        <v>0.152</v>
      </c>
      <c r="H244">
        <v>24</v>
      </c>
      <c r="I244">
        <v>84.8</v>
      </c>
      <c r="J244">
        <v>1.87</v>
      </c>
      <c r="K244">
        <v>0</v>
      </c>
      <c r="L244">
        <v>3.5</v>
      </c>
      <c r="M244">
        <v>828219.67</v>
      </c>
      <c r="N244">
        <v>179806.87</v>
      </c>
    </row>
    <row r="245" spans="1:14">
      <c r="A245" t="s">
        <v>82</v>
      </c>
      <c r="B245" s="2">
        <v>45748</v>
      </c>
      <c r="C245" t="s">
        <v>24</v>
      </c>
      <c r="D245" t="s">
        <v>21</v>
      </c>
      <c r="E245">
        <v>53546.34</v>
      </c>
      <c r="F245">
        <v>8004</v>
      </c>
      <c r="G245">
        <v>0</v>
      </c>
      <c r="H245">
        <v>21</v>
      </c>
      <c r="I245">
        <v>95.2</v>
      </c>
      <c r="J245">
        <v>2.83</v>
      </c>
      <c r="K245">
        <v>0</v>
      </c>
      <c r="L245">
        <v>3</v>
      </c>
      <c r="M245">
        <v>763159.92</v>
      </c>
      <c r="N245">
        <v>177104.87</v>
      </c>
    </row>
    <row r="246" spans="1:14">
      <c r="A246" t="s">
        <v>83</v>
      </c>
      <c r="B246" s="2">
        <v>45658</v>
      </c>
      <c r="C246" t="s">
        <v>15</v>
      </c>
      <c r="D246" t="s">
        <v>18</v>
      </c>
      <c r="E246">
        <v>76942.2</v>
      </c>
      <c r="F246">
        <v>8934</v>
      </c>
      <c r="G246">
        <v>8.4000000000000005E-2</v>
      </c>
      <c r="H246">
        <v>20</v>
      </c>
      <c r="I246">
        <v>91</v>
      </c>
      <c r="J246">
        <v>0.95</v>
      </c>
      <c r="K246">
        <v>0</v>
      </c>
      <c r="L246">
        <v>3.2</v>
      </c>
      <c r="M246">
        <v>802001.68</v>
      </c>
      <c r="N246">
        <v>159715.82</v>
      </c>
    </row>
    <row r="247" spans="1:14">
      <c r="A247" t="s">
        <v>83</v>
      </c>
      <c r="B247" s="2">
        <v>45689</v>
      </c>
      <c r="C247" t="s">
        <v>15</v>
      </c>
      <c r="D247" t="s">
        <v>18</v>
      </c>
      <c r="E247">
        <v>48060.78</v>
      </c>
      <c r="F247">
        <v>8733</v>
      </c>
      <c r="G247">
        <v>0</v>
      </c>
      <c r="H247">
        <v>20</v>
      </c>
      <c r="I247">
        <v>89.9</v>
      </c>
      <c r="J247">
        <v>0.8</v>
      </c>
      <c r="K247">
        <v>0</v>
      </c>
      <c r="L247">
        <v>3.4</v>
      </c>
      <c r="M247">
        <v>750471.34</v>
      </c>
      <c r="N247">
        <v>133788.04</v>
      </c>
    </row>
    <row r="248" spans="1:14">
      <c r="A248" t="s">
        <v>83</v>
      </c>
      <c r="B248" s="2">
        <v>45717</v>
      </c>
      <c r="C248" t="s">
        <v>15</v>
      </c>
      <c r="D248" t="s">
        <v>18</v>
      </c>
      <c r="E248">
        <v>57390.04</v>
      </c>
      <c r="F248">
        <v>7374</v>
      </c>
      <c r="G248">
        <v>0.21</v>
      </c>
      <c r="H248">
        <v>21</v>
      </c>
      <c r="I248">
        <v>91.8</v>
      </c>
      <c r="J248">
        <v>0.2</v>
      </c>
      <c r="K248">
        <v>0</v>
      </c>
      <c r="L248">
        <v>3.1</v>
      </c>
      <c r="M248">
        <v>679230.86</v>
      </c>
      <c r="N248">
        <v>106927.58</v>
      </c>
    </row>
    <row r="249" spans="1:14">
      <c r="A249" t="s">
        <v>83</v>
      </c>
      <c r="B249" s="2">
        <v>45748</v>
      </c>
      <c r="C249" t="s">
        <v>15</v>
      </c>
      <c r="D249" t="s">
        <v>18</v>
      </c>
      <c r="E249">
        <v>21536.18</v>
      </c>
      <c r="F249">
        <v>8119</v>
      </c>
      <c r="G249">
        <v>0.22700000000000001</v>
      </c>
      <c r="H249">
        <v>20</v>
      </c>
      <c r="I249">
        <v>90.4</v>
      </c>
      <c r="J249">
        <v>1.7</v>
      </c>
      <c r="K249">
        <v>0</v>
      </c>
      <c r="L249">
        <v>3.3</v>
      </c>
      <c r="M249">
        <v>679888.74</v>
      </c>
      <c r="N249">
        <v>83406.89</v>
      </c>
    </row>
    <row r="250" spans="1:14">
      <c r="A250" t="s">
        <v>84</v>
      </c>
      <c r="B250" s="2">
        <v>45658</v>
      </c>
      <c r="C250" t="s">
        <v>20</v>
      </c>
      <c r="D250" t="s">
        <v>18</v>
      </c>
      <c r="E250">
        <v>40923.67</v>
      </c>
      <c r="F250">
        <v>3875</v>
      </c>
      <c r="G250">
        <v>0.15</v>
      </c>
      <c r="H250">
        <v>10</v>
      </c>
      <c r="I250">
        <v>96.1</v>
      </c>
      <c r="K250">
        <v>0</v>
      </c>
      <c r="L250">
        <v>3.8</v>
      </c>
      <c r="M250">
        <v>606783.67000000004</v>
      </c>
      <c r="N250">
        <v>74515.87</v>
      </c>
    </row>
    <row r="251" spans="1:14">
      <c r="A251" t="s">
        <v>84</v>
      </c>
      <c r="B251" s="2">
        <v>45689</v>
      </c>
      <c r="C251" t="s">
        <v>20</v>
      </c>
      <c r="D251" t="s">
        <v>18</v>
      </c>
      <c r="E251">
        <v>72932.55</v>
      </c>
      <c r="F251">
        <v>5765</v>
      </c>
      <c r="G251">
        <v>2.5999999999999999E-2</v>
      </c>
      <c r="H251">
        <v>17</v>
      </c>
      <c r="I251">
        <v>81.8</v>
      </c>
      <c r="J251">
        <v>5.0999999999999996</v>
      </c>
      <c r="K251">
        <v>0</v>
      </c>
      <c r="L251">
        <v>3.6</v>
      </c>
      <c r="M251">
        <v>642751.42000000004</v>
      </c>
      <c r="N251">
        <v>131942.15</v>
      </c>
    </row>
    <row r="252" spans="1:14">
      <c r="A252" t="s">
        <v>84</v>
      </c>
      <c r="B252" s="2">
        <v>45717</v>
      </c>
      <c r="C252" t="s">
        <v>20</v>
      </c>
      <c r="D252" t="s">
        <v>18</v>
      </c>
      <c r="E252">
        <v>38361.93</v>
      </c>
      <c r="F252">
        <v>6322</v>
      </c>
      <c r="G252">
        <v>0.27300000000000002</v>
      </c>
      <c r="H252">
        <v>15</v>
      </c>
      <c r="I252">
        <v>88.4</v>
      </c>
      <c r="J252">
        <v>0.83</v>
      </c>
      <c r="K252">
        <v>0</v>
      </c>
      <c r="L252">
        <v>4</v>
      </c>
      <c r="M252">
        <v>647953.78</v>
      </c>
      <c r="N252">
        <v>118497.43</v>
      </c>
    </row>
    <row r="253" spans="1:14">
      <c r="A253" t="s">
        <v>84</v>
      </c>
      <c r="B253" s="2">
        <v>45748</v>
      </c>
      <c r="C253" t="s">
        <v>20</v>
      </c>
      <c r="D253" t="s">
        <v>18</v>
      </c>
      <c r="E253">
        <v>97480.94</v>
      </c>
      <c r="F253">
        <v>6840</v>
      </c>
      <c r="G253">
        <v>8.6999999999999994E-2</v>
      </c>
      <c r="H253">
        <v>14</v>
      </c>
      <c r="I253">
        <v>79.2</v>
      </c>
      <c r="J253">
        <v>1.1399999999999999</v>
      </c>
      <c r="K253">
        <v>0</v>
      </c>
      <c r="L253">
        <v>4</v>
      </c>
      <c r="M253">
        <v>729440.45</v>
      </c>
      <c r="N253">
        <v>87614.29</v>
      </c>
    </row>
    <row r="254" spans="1:14">
      <c r="A254" t="s">
        <v>85</v>
      </c>
      <c r="B254" s="2">
        <v>45658</v>
      </c>
      <c r="C254" t="s">
        <v>24</v>
      </c>
      <c r="D254" t="s">
        <v>21</v>
      </c>
      <c r="E254">
        <v>81801.8</v>
      </c>
      <c r="F254">
        <v>6782</v>
      </c>
      <c r="G254">
        <v>0.05</v>
      </c>
      <c r="H254">
        <v>16</v>
      </c>
      <c r="I254">
        <v>99</v>
      </c>
      <c r="J254">
        <v>9.5399999999999991</v>
      </c>
      <c r="K254">
        <v>0</v>
      </c>
      <c r="L254">
        <v>3.7</v>
      </c>
      <c r="M254">
        <v>764949</v>
      </c>
      <c r="N254">
        <v>148322.43</v>
      </c>
    </row>
    <row r="255" spans="1:14">
      <c r="A255" t="s">
        <v>85</v>
      </c>
      <c r="B255" s="2">
        <v>45689</v>
      </c>
      <c r="C255" t="s">
        <v>24</v>
      </c>
      <c r="D255" t="s">
        <v>21</v>
      </c>
      <c r="E255">
        <v>63582.11</v>
      </c>
      <c r="F255">
        <v>6856</v>
      </c>
      <c r="G255">
        <v>7.3999999999999996E-2</v>
      </c>
      <c r="H255">
        <v>17</v>
      </c>
      <c r="I255">
        <v>89.5</v>
      </c>
      <c r="J255">
        <v>5.48</v>
      </c>
      <c r="K255">
        <v>0</v>
      </c>
      <c r="L255">
        <v>3.2</v>
      </c>
      <c r="M255">
        <v>799046.94</v>
      </c>
      <c r="N255">
        <v>144553.64000000001</v>
      </c>
    </row>
    <row r="256" spans="1:14">
      <c r="A256" t="s">
        <v>85</v>
      </c>
      <c r="B256" s="2">
        <v>45717</v>
      </c>
      <c r="C256" t="s">
        <v>24</v>
      </c>
      <c r="D256" t="s">
        <v>21</v>
      </c>
      <c r="E256">
        <v>75412.740000000005</v>
      </c>
      <c r="F256">
        <v>5641</v>
      </c>
      <c r="G256">
        <v>5.8999999999999997E-2</v>
      </c>
      <c r="H256">
        <v>13</v>
      </c>
      <c r="I256">
        <v>87.9</v>
      </c>
      <c r="J256">
        <v>0.84</v>
      </c>
      <c r="K256">
        <v>0</v>
      </c>
      <c r="L256">
        <v>3.6</v>
      </c>
      <c r="M256">
        <v>720079.54</v>
      </c>
      <c r="N256">
        <v>119499.47</v>
      </c>
    </row>
    <row r="257" spans="1:14">
      <c r="A257" t="s">
        <v>85</v>
      </c>
      <c r="B257" s="2">
        <v>45748</v>
      </c>
      <c r="C257" t="s">
        <v>24</v>
      </c>
      <c r="D257" t="s">
        <v>21</v>
      </c>
      <c r="E257">
        <v>36290.080000000002</v>
      </c>
      <c r="F257">
        <v>5787</v>
      </c>
      <c r="G257">
        <v>0</v>
      </c>
      <c r="H257">
        <v>17</v>
      </c>
      <c r="I257">
        <v>88.3</v>
      </c>
      <c r="J257">
        <v>4.1900000000000004</v>
      </c>
      <c r="K257">
        <v>0</v>
      </c>
      <c r="L257">
        <v>4.0999999999999996</v>
      </c>
      <c r="M257">
        <v>612390.14</v>
      </c>
      <c r="N257">
        <v>108985.74</v>
      </c>
    </row>
    <row r="258" spans="1:14">
      <c r="A258" t="s">
        <v>86</v>
      </c>
      <c r="B258" s="2">
        <v>45658</v>
      </c>
      <c r="C258" t="s">
        <v>24</v>
      </c>
      <c r="D258" t="s">
        <v>28</v>
      </c>
      <c r="E258">
        <v>65272.58</v>
      </c>
      <c r="F258">
        <v>8165</v>
      </c>
      <c r="G258">
        <v>5.0999999999999997E-2</v>
      </c>
      <c r="H258">
        <v>19</v>
      </c>
      <c r="I258">
        <v>87.8</v>
      </c>
      <c r="J258">
        <v>1.26</v>
      </c>
      <c r="K258">
        <v>1</v>
      </c>
      <c r="L258">
        <v>4.3</v>
      </c>
      <c r="M258">
        <v>840108.12</v>
      </c>
      <c r="N258">
        <v>126587.01</v>
      </c>
    </row>
    <row r="259" spans="1:14">
      <c r="A259" t="s">
        <v>86</v>
      </c>
      <c r="B259" s="2">
        <v>45689</v>
      </c>
      <c r="C259" t="s">
        <v>24</v>
      </c>
      <c r="D259" t="s">
        <v>28</v>
      </c>
      <c r="E259">
        <v>28670.43</v>
      </c>
      <c r="F259">
        <v>7574</v>
      </c>
      <c r="G259">
        <v>0.114</v>
      </c>
      <c r="H259">
        <v>19</v>
      </c>
      <c r="I259">
        <v>82.7</v>
      </c>
      <c r="J259">
        <v>2.74</v>
      </c>
      <c r="K259">
        <v>0</v>
      </c>
      <c r="L259">
        <v>4.5999999999999996</v>
      </c>
      <c r="M259">
        <v>697888.09</v>
      </c>
      <c r="N259">
        <v>116249.87</v>
      </c>
    </row>
    <row r="260" spans="1:14">
      <c r="A260" t="s">
        <v>86</v>
      </c>
      <c r="B260" s="2">
        <v>45717</v>
      </c>
      <c r="C260" t="s">
        <v>24</v>
      </c>
      <c r="D260" t="s">
        <v>28</v>
      </c>
      <c r="E260">
        <v>44189.34</v>
      </c>
      <c r="F260">
        <v>8634</v>
      </c>
      <c r="G260">
        <v>0.14299999999999999</v>
      </c>
      <c r="H260">
        <v>19</v>
      </c>
      <c r="I260">
        <v>87.5</v>
      </c>
      <c r="J260">
        <v>3.69</v>
      </c>
      <c r="K260">
        <v>0</v>
      </c>
      <c r="L260">
        <v>4.4000000000000004</v>
      </c>
      <c r="M260">
        <v>746115.59</v>
      </c>
      <c r="N260">
        <v>94662.96</v>
      </c>
    </row>
    <row r="261" spans="1:14">
      <c r="A261" t="s">
        <v>86</v>
      </c>
      <c r="B261" s="2">
        <v>45748</v>
      </c>
      <c r="C261" t="s">
        <v>24</v>
      </c>
      <c r="D261" t="s">
        <v>28</v>
      </c>
      <c r="E261">
        <v>38397.82</v>
      </c>
      <c r="F261">
        <v>7836</v>
      </c>
      <c r="G261">
        <v>7.0000000000000001E-3</v>
      </c>
      <c r="H261">
        <v>21</v>
      </c>
      <c r="I261">
        <v>92.2</v>
      </c>
      <c r="J261">
        <v>1.82</v>
      </c>
      <c r="K261">
        <v>0</v>
      </c>
      <c r="L261">
        <v>3.6</v>
      </c>
      <c r="M261">
        <v>776110.32</v>
      </c>
      <c r="N261">
        <v>139676.21</v>
      </c>
    </row>
    <row r="262" spans="1:14">
      <c r="A262" t="s">
        <v>87</v>
      </c>
      <c r="B262" s="2">
        <v>45658</v>
      </c>
      <c r="C262" t="s">
        <v>27</v>
      </c>
      <c r="D262" t="s">
        <v>18</v>
      </c>
      <c r="E262">
        <v>14519.37</v>
      </c>
      <c r="F262">
        <v>3047</v>
      </c>
      <c r="G262">
        <v>0.13500000000000001</v>
      </c>
      <c r="H262">
        <v>10</v>
      </c>
      <c r="I262">
        <v>90.3</v>
      </c>
      <c r="J262">
        <v>6.62</v>
      </c>
      <c r="K262">
        <v>0</v>
      </c>
      <c r="L262">
        <v>4.2</v>
      </c>
      <c r="M262">
        <v>528852.62</v>
      </c>
      <c r="N262">
        <v>68426.210000000006</v>
      </c>
    </row>
    <row r="263" spans="1:14">
      <c r="A263" t="s">
        <v>87</v>
      </c>
      <c r="B263" s="2">
        <v>45689</v>
      </c>
      <c r="C263" t="s">
        <v>27</v>
      </c>
      <c r="D263" t="s">
        <v>18</v>
      </c>
      <c r="E263">
        <v>43288.2</v>
      </c>
      <c r="F263">
        <v>4783</v>
      </c>
      <c r="G263">
        <v>0.16900000000000001</v>
      </c>
      <c r="H263">
        <v>13</v>
      </c>
      <c r="I263">
        <v>87.3</v>
      </c>
      <c r="K263">
        <v>0</v>
      </c>
      <c r="L263">
        <v>4.2</v>
      </c>
      <c r="M263">
        <v>605751.32999999996</v>
      </c>
      <c r="N263">
        <v>60685.53</v>
      </c>
    </row>
    <row r="264" spans="1:14">
      <c r="A264" t="s">
        <v>87</v>
      </c>
      <c r="B264" s="2">
        <v>45717</v>
      </c>
      <c r="C264" t="s">
        <v>27</v>
      </c>
      <c r="D264" t="s">
        <v>18</v>
      </c>
      <c r="E264">
        <v>51450.55</v>
      </c>
      <c r="F264">
        <v>4902</v>
      </c>
      <c r="G264">
        <v>8.5999999999999993E-2</v>
      </c>
      <c r="H264">
        <v>11</v>
      </c>
      <c r="I264">
        <v>83.7</v>
      </c>
      <c r="J264">
        <v>6.92</v>
      </c>
      <c r="K264">
        <v>1</v>
      </c>
      <c r="L264">
        <v>4.2</v>
      </c>
      <c r="M264">
        <v>677640.65</v>
      </c>
      <c r="N264">
        <v>111610.89</v>
      </c>
    </row>
    <row r="265" spans="1:14">
      <c r="A265" t="s">
        <v>87</v>
      </c>
      <c r="B265" s="2">
        <v>45748</v>
      </c>
      <c r="C265" t="s">
        <v>27</v>
      </c>
      <c r="D265" t="s">
        <v>18</v>
      </c>
      <c r="E265">
        <v>58688.26</v>
      </c>
      <c r="F265">
        <v>4022</v>
      </c>
      <c r="G265">
        <v>0.217</v>
      </c>
      <c r="H265">
        <v>12</v>
      </c>
      <c r="I265">
        <v>93.8</v>
      </c>
      <c r="J265">
        <v>11.78</v>
      </c>
      <c r="K265">
        <v>0</v>
      </c>
      <c r="L265">
        <v>3.7</v>
      </c>
      <c r="M265">
        <v>636613.23</v>
      </c>
      <c r="N265">
        <v>78908.350000000006</v>
      </c>
    </row>
    <row r="266" spans="1:14">
      <c r="A266" t="s">
        <v>88</v>
      </c>
      <c r="B266" s="2">
        <v>45658</v>
      </c>
      <c r="C266" t="s">
        <v>15</v>
      </c>
      <c r="D266" t="s">
        <v>18</v>
      </c>
      <c r="E266">
        <v>58981.91</v>
      </c>
      <c r="F266">
        <v>7324</v>
      </c>
      <c r="G266">
        <v>9.4E-2</v>
      </c>
      <c r="H266">
        <v>15</v>
      </c>
      <c r="I266">
        <v>95.8</v>
      </c>
      <c r="J266">
        <v>0.5</v>
      </c>
      <c r="K266">
        <v>0</v>
      </c>
      <c r="L266">
        <v>3.5</v>
      </c>
      <c r="M266">
        <v>708985.19</v>
      </c>
      <c r="N266">
        <v>125368.16</v>
      </c>
    </row>
    <row r="267" spans="1:14">
      <c r="A267" t="s">
        <v>88</v>
      </c>
      <c r="B267" s="2">
        <v>45689</v>
      </c>
      <c r="C267" t="s">
        <v>15</v>
      </c>
      <c r="D267" t="s">
        <v>18</v>
      </c>
      <c r="E267">
        <v>73454.539999999994</v>
      </c>
      <c r="F267">
        <v>8129</v>
      </c>
      <c r="G267">
        <v>0.21099999999999999</v>
      </c>
      <c r="H267">
        <v>20</v>
      </c>
      <c r="I267">
        <v>85.2</v>
      </c>
      <c r="J267">
        <v>0.88</v>
      </c>
      <c r="K267">
        <v>0</v>
      </c>
      <c r="L267">
        <v>3.7</v>
      </c>
      <c r="M267">
        <v>767792.94</v>
      </c>
      <c r="N267">
        <v>96235.77</v>
      </c>
    </row>
    <row r="268" spans="1:14">
      <c r="A268" t="s">
        <v>88</v>
      </c>
      <c r="B268" s="2">
        <v>45717</v>
      </c>
      <c r="C268" t="s">
        <v>15</v>
      </c>
      <c r="D268" t="s">
        <v>18</v>
      </c>
      <c r="E268">
        <v>56602.39</v>
      </c>
      <c r="F268">
        <v>7969</v>
      </c>
      <c r="G268">
        <v>0.17</v>
      </c>
      <c r="H268">
        <v>21</v>
      </c>
      <c r="I268">
        <v>88.3</v>
      </c>
      <c r="J268">
        <v>2.25</v>
      </c>
      <c r="K268">
        <v>0</v>
      </c>
      <c r="L268">
        <v>3.7</v>
      </c>
      <c r="M268">
        <v>745580.51</v>
      </c>
      <c r="N268">
        <v>116273.68</v>
      </c>
    </row>
    <row r="269" spans="1:14">
      <c r="A269" t="s">
        <v>88</v>
      </c>
      <c r="B269" s="2">
        <v>45748</v>
      </c>
      <c r="C269" t="s">
        <v>15</v>
      </c>
      <c r="D269" t="s">
        <v>18</v>
      </c>
      <c r="E269">
        <v>67722.289999999994</v>
      </c>
      <c r="F269">
        <v>7240</v>
      </c>
      <c r="G269">
        <v>2.5999999999999999E-2</v>
      </c>
      <c r="H269">
        <v>15</v>
      </c>
      <c r="I269">
        <v>92.9</v>
      </c>
      <c r="J269">
        <v>0.28999999999999998</v>
      </c>
      <c r="K269">
        <v>0</v>
      </c>
      <c r="L269">
        <v>3.5</v>
      </c>
      <c r="M269">
        <v>762328.31</v>
      </c>
      <c r="N269">
        <v>159158.19</v>
      </c>
    </row>
    <row r="270" spans="1:14">
      <c r="A270" t="s">
        <v>89</v>
      </c>
      <c r="B270" s="2">
        <v>45658</v>
      </c>
      <c r="C270" t="s">
        <v>15</v>
      </c>
      <c r="D270" t="s">
        <v>28</v>
      </c>
      <c r="E270">
        <v>48752.92</v>
      </c>
      <c r="F270">
        <v>8052</v>
      </c>
      <c r="G270">
        <v>0.106</v>
      </c>
      <c r="H270">
        <v>16</v>
      </c>
      <c r="I270">
        <v>94.9</v>
      </c>
      <c r="J270">
        <v>0.65</v>
      </c>
      <c r="K270">
        <v>0</v>
      </c>
      <c r="L270">
        <v>3.6</v>
      </c>
      <c r="M270">
        <v>660633.99</v>
      </c>
      <c r="N270">
        <v>118768.66</v>
      </c>
    </row>
    <row r="271" spans="1:14">
      <c r="A271" t="s">
        <v>89</v>
      </c>
      <c r="B271" s="2">
        <v>45689</v>
      </c>
      <c r="C271" t="s">
        <v>15</v>
      </c>
      <c r="D271" t="s">
        <v>28</v>
      </c>
      <c r="E271">
        <v>23914.97</v>
      </c>
      <c r="F271">
        <v>8018</v>
      </c>
      <c r="G271">
        <v>0.13900000000000001</v>
      </c>
      <c r="H271">
        <v>20</v>
      </c>
      <c r="I271">
        <v>89</v>
      </c>
      <c r="J271">
        <v>0.2</v>
      </c>
      <c r="K271">
        <v>0</v>
      </c>
      <c r="L271">
        <v>3.5</v>
      </c>
      <c r="M271">
        <v>739374.56</v>
      </c>
      <c r="N271">
        <v>121032.29</v>
      </c>
    </row>
    <row r="272" spans="1:14">
      <c r="A272" t="s">
        <v>89</v>
      </c>
      <c r="B272" s="2">
        <v>45717</v>
      </c>
      <c r="C272" t="s">
        <v>15</v>
      </c>
      <c r="D272" t="s">
        <v>28</v>
      </c>
      <c r="E272">
        <v>61995.3</v>
      </c>
      <c r="F272">
        <v>10192</v>
      </c>
      <c r="G272">
        <v>0.19800000000000001</v>
      </c>
      <c r="H272">
        <v>21</v>
      </c>
      <c r="I272">
        <v>87.6</v>
      </c>
      <c r="J272">
        <v>3.63</v>
      </c>
      <c r="K272">
        <v>1</v>
      </c>
      <c r="L272">
        <v>3.8</v>
      </c>
      <c r="M272">
        <v>799756.46</v>
      </c>
      <c r="N272">
        <v>105052.93</v>
      </c>
    </row>
    <row r="273" spans="1:14">
      <c r="A273" t="s">
        <v>89</v>
      </c>
      <c r="B273" s="2">
        <v>45748</v>
      </c>
      <c r="C273" t="s">
        <v>15</v>
      </c>
      <c r="D273" t="s">
        <v>28</v>
      </c>
      <c r="E273">
        <v>29344.93</v>
      </c>
      <c r="F273">
        <v>7446</v>
      </c>
      <c r="G273">
        <v>0.111</v>
      </c>
      <c r="H273">
        <v>15</v>
      </c>
      <c r="I273">
        <v>86.2</v>
      </c>
      <c r="J273">
        <v>0.2</v>
      </c>
      <c r="K273">
        <v>0</v>
      </c>
      <c r="L273">
        <v>3.2</v>
      </c>
      <c r="M273">
        <v>593343</v>
      </c>
      <c r="N273">
        <v>82832.240000000005</v>
      </c>
    </row>
    <row r="274" spans="1:14">
      <c r="A274" t="s">
        <v>90</v>
      </c>
      <c r="B274" s="2">
        <v>45658</v>
      </c>
      <c r="C274" t="s">
        <v>27</v>
      </c>
      <c r="D274" t="s">
        <v>18</v>
      </c>
      <c r="E274">
        <v>50532.17</v>
      </c>
      <c r="F274">
        <v>5689</v>
      </c>
      <c r="G274">
        <v>5.1999999999999998E-2</v>
      </c>
      <c r="H274">
        <v>17</v>
      </c>
      <c r="I274">
        <v>85.6</v>
      </c>
      <c r="J274">
        <v>6.23</v>
      </c>
      <c r="K274">
        <v>0</v>
      </c>
      <c r="L274">
        <v>3.3</v>
      </c>
      <c r="M274">
        <v>645039.97</v>
      </c>
      <c r="N274">
        <v>83093.33</v>
      </c>
    </row>
    <row r="275" spans="1:14">
      <c r="A275" t="s">
        <v>90</v>
      </c>
      <c r="B275" s="2">
        <v>45689</v>
      </c>
      <c r="C275" t="s">
        <v>27</v>
      </c>
      <c r="D275" t="s">
        <v>18</v>
      </c>
      <c r="E275">
        <v>17562.57</v>
      </c>
      <c r="F275">
        <v>3326</v>
      </c>
      <c r="G275">
        <v>0.153</v>
      </c>
      <c r="H275">
        <v>14</v>
      </c>
      <c r="I275">
        <v>88.1</v>
      </c>
      <c r="J275">
        <v>1.04</v>
      </c>
      <c r="K275">
        <v>0</v>
      </c>
      <c r="L275">
        <v>3.1</v>
      </c>
      <c r="M275">
        <v>561597.32999999996</v>
      </c>
      <c r="N275">
        <v>75072.75</v>
      </c>
    </row>
    <row r="276" spans="1:14">
      <c r="A276" t="s">
        <v>90</v>
      </c>
      <c r="B276" s="2">
        <v>45717</v>
      </c>
      <c r="C276" t="s">
        <v>27</v>
      </c>
      <c r="D276" t="s">
        <v>18</v>
      </c>
      <c r="E276">
        <v>47648.71</v>
      </c>
      <c r="F276">
        <v>5767</v>
      </c>
      <c r="G276">
        <v>0.14099999999999999</v>
      </c>
      <c r="H276">
        <v>17</v>
      </c>
      <c r="I276">
        <v>89.8</v>
      </c>
      <c r="J276">
        <v>1.76</v>
      </c>
      <c r="K276">
        <v>0</v>
      </c>
      <c r="L276">
        <v>3.1</v>
      </c>
      <c r="M276">
        <v>635837.74</v>
      </c>
      <c r="N276">
        <v>114740.64</v>
      </c>
    </row>
    <row r="277" spans="1:14">
      <c r="A277" t="s">
        <v>90</v>
      </c>
      <c r="B277" s="2">
        <v>45748</v>
      </c>
      <c r="C277" t="s">
        <v>27</v>
      </c>
      <c r="D277" t="s">
        <v>18</v>
      </c>
      <c r="E277">
        <v>38297.58</v>
      </c>
      <c r="F277">
        <v>5893</v>
      </c>
      <c r="G277">
        <v>0.247</v>
      </c>
      <c r="H277">
        <v>18</v>
      </c>
      <c r="I277">
        <v>77.599999999999994</v>
      </c>
      <c r="J277">
        <v>2.86</v>
      </c>
      <c r="K277">
        <v>0</v>
      </c>
      <c r="L277">
        <v>3</v>
      </c>
      <c r="M277">
        <v>686737.87</v>
      </c>
      <c r="N277">
        <v>83839.67</v>
      </c>
    </row>
    <row r="278" spans="1:14">
      <c r="A278" t="s">
        <v>91</v>
      </c>
      <c r="B278" s="2">
        <v>45658</v>
      </c>
      <c r="C278" t="s">
        <v>24</v>
      </c>
      <c r="D278" t="s">
        <v>16</v>
      </c>
      <c r="E278">
        <v>61784.11</v>
      </c>
      <c r="F278">
        <v>8564</v>
      </c>
      <c r="G278">
        <v>0.13</v>
      </c>
      <c r="H278">
        <v>17</v>
      </c>
      <c r="I278">
        <v>87.4</v>
      </c>
      <c r="J278">
        <v>18.14</v>
      </c>
      <c r="K278">
        <v>1</v>
      </c>
      <c r="L278">
        <v>3.4</v>
      </c>
      <c r="M278">
        <v>673076.34</v>
      </c>
      <c r="N278">
        <v>93899.76</v>
      </c>
    </row>
    <row r="279" spans="1:14">
      <c r="A279" t="s">
        <v>91</v>
      </c>
      <c r="B279" s="2">
        <v>45689</v>
      </c>
      <c r="C279" t="s">
        <v>24</v>
      </c>
      <c r="D279" t="s">
        <v>16</v>
      </c>
      <c r="E279">
        <v>36832.33</v>
      </c>
      <c r="F279">
        <v>8001</v>
      </c>
      <c r="G279">
        <v>0</v>
      </c>
      <c r="H279">
        <v>19</v>
      </c>
      <c r="I279">
        <v>88.7</v>
      </c>
      <c r="J279">
        <v>3.39</v>
      </c>
      <c r="K279">
        <v>0</v>
      </c>
      <c r="L279">
        <v>4</v>
      </c>
      <c r="M279">
        <v>738548.42</v>
      </c>
      <c r="N279">
        <v>134282.76999999999</v>
      </c>
    </row>
    <row r="280" spans="1:14">
      <c r="A280" t="s">
        <v>91</v>
      </c>
      <c r="B280" s="2">
        <v>45717</v>
      </c>
      <c r="C280" t="s">
        <v>24</v>
      </c>
      <c r="D280" t="s">
        <v>16</v>
      </c>
      <c r="E280">
        <v>48609.41</v>
      </c>
      <c r="F280">
        <v>9324</v>
      </c>
      <c r="G280">
        <v>0.21299999999999999</v>
      </c>
      <c r="H280">
        <v>18</v>
      </c>
      <c r="I280">
        <v>86.5</v>
      </c>
      <c r="J280">
        <v>1.44</v>
      </c>
      <c r="K280">
        <v>0</v>
      </c>
      <c r="L280">
        <v>3.9</v>
      </c>
      <c r="M280">
        <v>756619.77</v>
      </c>
      <c r="N280">
        <v>112057.69</v>
      </c>
    </row>
    <row r="281" spans="1:14">
      <c r="A281" t="s">
        <v>91</v>
      </c>
      <c r="B281" s="2">
        <v>45748</v>
      </c>
      <c r="C281" t="s">
        <v>24</v>
      </c>
      <c r="D281" t="s">
        <v>16</v>
      </c>
      <c r="E281">
        <v>70284.06</v>
      </c>
      <c r="F281">
        <v>9109</v>
      </c>
      <c r="G281">
        <v>4.0000000000000001E-3</v>
      </c>
      <c r="H281">
        <v>23</v>
      </c>
      <c r="I281">
        <v>87</v>
      </c>
      <c r="J281">
        <v>3.65</v>
      </c>
      <c r="K281">
        <v>0</v>
      </c>
      <c r="L281">
        <v>3.7</v>
      </c>
      <c r="M281">
        <v>761122.42</v>
      </c>
      <c r="N281">
        <v>149802.04</v>
      </c>
    </row>
    <row r="282" spans="1:14">
      <c r="A282" t="s">
        <v>92</v>
      </c>
      <c r="B282" s="2">
        <v>45658</v>
      </c>
      <c r="C282" t="s">
        <v>24</v>
      </c>
      <c r="D282" t="s">
        <v>18</v>
      </c>
      <c r="E282">
        <v>45940.39</v>
      </c>
      <c r="F282">
        <v>4022</v>
      </c>
      <c r="G282">
        <v>6.9000000000000006E-2</v>
      </c>
      <c r="H282">
        <v>10</v>
      </c>
      <c r="I282">
        <v>83</v>
      </c>
      <c r="J282">
        <v>1.23</v>
      </c>
      <c r="K282">
        <v>1</v>
      </c>
      <c r="L282">
        <v>3.8</v>
      </c>
      <c r="M282">
        <v>524899.56999999995</v>
      </c>
      <c r="N282">
        <v>63619.98</v>
      </c>
    </row>
    <row r="283" spans="1:14">
      <c r="A283" t="s">
        <v>92</v>
      </c>
      <c r="B283" s="2">
        <v>45689</v>
      </c>
      <c r="C283" t="s">
        <v>24</v>
      </c>
      <c r="D283" t="s">
        <v>18</v>
      </c>
      <c r="E283">
        <v>34771.26</v>
      </c>
      <c r="F283">
        <v>4355</v>
      </c>
      <c r="G283">
        <v>5.0999999999999997E-2</v>
      </c>
      <c r="H283">
        <v>15</v>
      </c>
      <c r="I283">
        <v>87.9</v>
      </c>
      <c r="J283">
        <v>3.09</v>
      </c>
      <c r="K283">
        <v>0</v>
      </c>
      <c r="L283">
        <v>4</v>
      </c>
      <c r="M283">
        <v>555557.77</v>
      </c>
      <c r="N283">
        <v>86475.51</v>
      </c>
    </row>
    <row r="284" spans="1:14">
      <c r="A284" t="s">
        <v>92</v>
      </c>
      <c r="B284" s="2">
        <v>45717</v>
      </c>
      <c r="C284" t="s">
        <v>24</v>
      </c>
      <c r="D284" t="s">
        <v>18</v>
      </c>
      <c r="E284">
        <v>66104.19</v>
      </c>
      <c r="F284">
        <v>5745</v>
      </c>
      <c r="G284">
        <v>7.0000000000000007E-2</v>
      </c>
      <c r="H284">
        <v>17</v>
      </c>
      <c r="I284">
        <v>95.8</v>
      </c>
      <c r="J284">
        <v>3.15</v>
      </c>
      <c r="K284">
        <v>0</v>
      </c>
      <c r="L284">
        <v>4</v>
      </c>
      <c r="M284">
        <v>714083.68</v>
      </c>
      <c r="N284">
        <v>127231.74</v>
      </c>
    </row>
    <row r="285" spans="1:14">
      <c r="A285" t="s">
        <v>92</v>
      </c>
      <c r="B285" s="2">
        <v>45748</v>
      </c>
      <c r="C285" t="s">
        <v>24</v>
      </c>
      <c r="D285" t="s">
        <v>18</v>
      </c>
      <c r="E285">
        <v>18599.21</v>
      </c>
      <c r="F285">
        <v>3027</v>
      </c>
      <c r="G285">
        <v>0.122</v>
      </c>
      <c r="H285">
        <v>11</v>
      </c>
      <c r="I285">
        <v>80.900000000000006</v>
      </c>
      <c r="J285">
        <v>6.44</v>
      </c>
      <c r="K285">
        <v>0</v>
      </c>
      <c r="L285">
        <v>4.2</v>
      </c>
      <c r="M285">
        <v>497439.82</v>
      </c>
      <c r="N285">
        <v>93372.75</v>
      </c>
    </row>
    <row r="286" spans="1:14">
      <c r="A286" t="s">
        <v>93</v>
      </c>
      <c r="B286" s="2">
        <v>45658</v>
      </c>
      <c r="C286" t="s">
        <v>27</v>
      </c>
      <c r="D286" t="s">
        <v>16</v>
      </c>
      <c r="E286">
        <v>60183.06</v>
      </c>
      <c r="F286">
        <v>5562</v>
      </c>
      <c r="G286">
        <v>8.9999999999999993E-3</v>
      </c>
      <c r="H286">
        <v>13</v>
      </c>
      <c r="I286">
        <v>86.3</v>
      </c>
      <c r="J286">
        <v>0.2</v>
      </c>
      <c r="K286">
        <v>1</v>
      </c>
      <c r="L286">
        <v>4.5</v>
      </c>
      <c r="M286">
        <v>636775.66</v>
      </c>
      <c r="N286">
        <v>122636.86</v>
      </c>
    </row>
    <row r="287" spans="1:14">
      <c r="A287" t="s">
        <v>93</v>
      </c>
      <c r="B287" s="2">
        <v>45689</v>
      </c>
      <c r="C287" t="s">
        <v>27</v>
      </c>
      <c r="D287" t="s">
        <v>16</v>
      </c>
      <c r="E287">
        <v>74539.14</v>
      </c>
      <c r="F287">
        <v>4487</v>
      </c>
      <c r="G287">
        <v>0.14000000000000001</v>
      </c>
      <c r="H287">
        <v>10</v>
      </c>
      <c r="I287">
        <v>90.4</v>
      </c>
      <c r="J287">
        <v>0.59</v>
      </c>
      <c r="K287">
        <v>0</v>
      </c>
      <c r="L287">
        <v>4.5</v>
      </c>
      <c r="M287">
        <v>633009.53</v>
      </c>
      <c r="N287">
        <v>123782.67</v>
      </c>
    </row>
    <row r="288" spans="1:14">
      <c r="A288" t="s">
        <v>93</v>
      </c>
      <c r="B288" s="2">
        <v>45717</v>
      </c>
      <c r="C288" t="s">
        <v>27</v>
      </c>
      <c r="D288" t="s">
        <v>16</v>
      </c>
      <c r="E288">
        <v>55371.97</v>
      </c>
      <c r="F288">
        <v>4162</v>
      </c>
      <c r="G288">
        <v>0.183</v>
      </c>
      <c r="H288">
        <v>11</v>
      </c>
      <c r="I288">
        <v>92</v>
      </c>
      <c r="J288">
        <v>0.2</v>
      </c>
      <c r="K288">
        <v>1</v>
      </c>
      <c r="L288">
        <v>4.2</v>
      </c>
      <c r="M288">
        <v>609949</v>
      </c>
      <c r="N288">
        <v>126789.25</v>
      </c>
    </row>
    <row r="289" spans="1:14">
      <c r="A289" t="s">
        <v>93</v>
      </c>
      <c r="B289" s="2">
        <v>45748</v>
      </c>
      <c r="C289" t="s">
        <v>27</v>
      </c>
      <c r="D289" t="s">
        <v>16</v>
      </c>
      <c r="E289">
        <v>40928.69</v>
      </c>
      <c r="F289">
        <v>4094</v>
      </c>
      <c r="G289">
        <v>0.17399999999999999</v>
      </c>
      <c r="H289">
        <v>13</v>
      </c>
      <c r="I289">
        <v>82.4</v>
      </c>
      <c r="J289">
        <v>1.36</v>
      </c>
      <c r="K289">
        <v>0</v>
      </c>
      <c r="L289">
        <v>4.8</v>
      </c>
      <c r="M289">
        <v>548103.69999999995</v>
      </c>
      <c r="N289">
        <v>99905.52</v>
      </c>
    </row>
    <row r="290" spans="1:14">
      <c r="A290" t="s">
        <v>94</v>
      </c>
      <c r="B290" s="2">
        <v>45658</v>
      </c>
      <c r="C290" t="s">
        <v>15</v>
      </c>
      <c r="D290" t="s">
        <v>16</v>
      </c>
      <c r="E290">
        <v>70012.41</v>
      </c>
      <c r="F290">
        <v>8484</v>
      </c>
      <c r="G290">
        <v>0.27300000000000002</v>
      </c>
      <c r="H290">
        <v>23</v>
      </c>
      <c r="I290">
        <v>72.900000000000006</v>
      </c>
      <c r="J290">
        <v>3.34</v>
      </c>
      <c r="K290">
        <v>0</v>
      </c>
      <c r="L290">
        <v>3.7</v>
      </c>
      <c r="M290">
        <v>729424.42</v>
      </c>
      <c r="N290">
        <v>75592.28</v>
      </c>
    </row>
    <row r="291" spans="1:14">
      <c r="A291" t="s">
        <v>94</v>
      </c>
      <c r="B291" s="2">
        <v>45689</v>
      </c>
      <c r="C291" t="s">
        <v>15</v>
      </c>
      <c r="D291" t="s">
        <v>16</v>
      </c>
      <c r="E291">
        <v>68909.259999999995</v>
      </c>
      <c r="F291">
        <v>7794</v>
      </c>
      <c r="G291">
        <v>0.28399999999999997</v>
      </c>
      <c r="H291">
        <v>22</v>
      </c>
      <c r="I291">
        <v>89</v>
      </c>
      <c r="J291">
        <v>0.33</v>
      </c>
      <c r="K291">
        <v>0</v>
      </c>
      <c r="L291">
        <v>4</v>
      </c>
      <c r="M291">
        <v>696261.49</v>
      </c>
      <c r="N291">
        <v>72455.350000000006</v>
      </c>
    </row>
    <row r="292" spans="1:14">
      <c r="A292" t="s">
        <v>94</v>
      </c>
      <c r="B292" s="2">
        <v>45717</v>
      </c>
      <c r="C292" t="s">
        <v>15</v>
      </c>
      <c r="D292" t="s">
        <v>16</v>
      </c>
      <c r="E292">
        <v>56737.3</v>
      </c>
      <c r="F292">
        <v>8300</v>
      </c>
      <c r="G292">
        <v>3.2000000000000001E-2</v>
      </c>
      <c r="H292">
        <v>21</v>
      </c>
      <c r="I292">
        <v>83.2</v>
      </c>
      <c r="J292">
        <v>3.44</v>
      </c>
      <c r="K292">
        <v>1</v>
      </c>
      <c r="L292">
        <v>4.3</v>
      </c>
      <c r="M292">
        <v>813316.71</v>
      </c>
      <c r="N292">
        <v>110077.42</v>
      </c>
    </row>
    <row r="293" spans="1:14">
      <c r="A293" t="s">
        <v>94</v>
      </c>
      <c r="B293" s="2">
        <v>45748</v>
      </c>
      <c r="C293" t="s">
        <v>15</v>
      </c>
      <c r="D293" t="s">
        <v>16</v>
      </c>
      <c r="E293">
        <v>54080.91</v>
      </c>
      <c r="F293">
        <v>7083</v>
      </c>
      <c r="G293">
        <v>0</v>
      </c>
      <c r="H293">
        <v>15</v>
      </c>
      <c r="I293">
        <v>97</v>
      </c>
      <c r="J293">
        <v>5.33</v>
      </c>
      <c r="K293">
        <v>0</v>
      </c>
      <c r="L293">
        <v>4.0999999999999996</v>
      </c>
      <c r="M293">
        <v>702068.92</v>
      </c>
      <c r="N293">
        <v>111266.63</v>
      </c>
    </row>
    <row r="294" spans="1:14">
      <c r="A294" t="s">
        <v>95</v>
      </c>
      <c r="B294" s="2">
        <v>45658</v>
      </c>
      <c r="C294" t="s">
        <v>27</v>
      </c>
      <c r="D294" t="s">
        <v>18</v>
      </c>
      <c r="E294">
        <v>51996.32</v>
      </c>
      <c r="F294">
        <v>3834</v>
      </c>
      <c r="G294">
        <v>9.6000000000000002E-2</v>
      </c>
      <c r="H294">
        <v>8</v>
      </c>
      <c r="I294">
        <v>86.7</v>
      </c>
      <c r="J294">
        <v>6.04</v>
      </c>
      <c r="K294">
        <v>0</v>
      </c>
      <c r="L294">
        <v>4.5</v>
      </c>
      <c r="M294">
        <v>546223.69999999995</v>
      </c>
      <c r="N294">
        <v>100769.17</v>
      </c>
    </row>
    <row r="295" spans="1:14">
      <c r="A295" t="s">
        <v>95</v>
      </c>
      <c r="B295" s="2">
        <v>45689</v>
      </c>
      <c r="C295" t="s">
        <v>27</v>
      </c>
      <c r="D295" t="s">
        <v>18</v>
      </c>
      <c r="E295">
        <v>40102.879999999997</v>
      </c>
      <c r="F295">
        <v>2358</v>
      </c>
      <c r="G295">
        <v>0.11899999999999999</v>
      </c>
      <c r="H295">
        <v>9</v>
      </c>
      <c r="I295">
        <v>88.7</v>
      </c>
      <c r="J295">
        <v>1.6</v>
      </c>
      <c r="K295">
        <v>0</v>
      </c>
      <c r="L295">
        <v>4.2</v>
      </c>
      <c r="M295">
        <v>533121.26</v>
      </c>
      <c r="N295">
        <v>55063.39</v>
      </c>
    </row>
    <row r="296" spans="1:14">
      <c r="A296" t="s">
        <v>95</v>
      </c>
      <c r="B296" s="2">
        <v>45717</v>
      </c>
      <c r="C296" t="s">
        <v>27</v>
      </c>
      <c r="D296" t="s">
        <v>18</v>
      </c>
      <c r="E296">
        <v>59825.51</v>
      </c>
      <c r="F296">
        <v>1231</v>
      </c>
      <c r="G296">
        <v>0.214</v>
      </c>
      <c r="H296">
        <v>10</v>
      </c>
      <c r="I296">
        <v>84.8</v>
      </c>
      <c r="J296">
        <v>8.9600000000000009</v>
      </c>
      <c r="K296">
        <v>0</v>
      </c>
      <c r="L296">
        <v>4.7</v>
      </c>
      <c r="M296">
        <v>498970.32</v>
      </c>
      <c r="N296">
        <v>69656.7</v>
      </c>
    </row>
    <row r="297" spans="1:14">
      <c r="A297" t="s">
        <v>95</v>
      </c>
      <c r="B297" s="2">
        <v>45748</v>
      </c>
      <c r="C297" t="s">
        <v>27</v>
      </c>
      <c r="D297" t="s">
        <v>18</v>
      </c>
      <c r="E297">
        <v>27398.28</v>
      </c>
      <c r="F297">
        <v>1723</v>
      </c>
      <c r="G297">
        <v>0.17100000000000001</v>
      </c>
      <c r="H297">
        <v>9</v>
      </c>
      <c r="I297">
        <v>81</v>
      </c>
      <c r="J297">
        <v>0.74</v>
      </c>
      <c r="K297">
        <v>0</v>
      </c>
      <c r="L297">
        <v>4.5999999999999996</v>
      </c>
      <c r="M297">
        <v>487738.26</v>
      </c>
      <c r="N297">
        <v>96435.6</v>
      </c>
    </row>
    <row r="298" spans="1:14">
      <c r="A298" t="s">
        <v>96</v>
      </c>
      <c r="B298" s="2">
        <v>45658</v>
      </c>
      <c r="C298" t="s">
        <v>27</v>
      </c>
      <c r="D298" t="s">
        <v>18</v>
      </c>
      <c r="E298">
        <v>55599.56</v>
      </c>
      <c r="F298">
        <v>5896</v>
      </c>
      <c r="G298">
        <v>3.5999999999999997E-2</v>
      </c>
      <c r="H298">
        <v>12</v>
      </c>
      <c r="I298">
        <v>93.1</v>
      </c>
      <c r="J298">
        <v>6.13</v>
      </c>
      <c r="K298">
        <v>0</v>
      </c>
      <c r="L298">
        <v>3.3</v>
      </c>
      <c r="M298">
        <v>668459.37</v>
      </c>
      <c r="N298">
        <v>126435.42</v>
      </c>
    </row>
    <row r="299" spans="1:14">
      <c r="A299" t="s">
        <v>96</v>
      </c>
      <c r="B299" s="2">
        <v>45689</v>
      </c>
      <c r="C299" t="s">
        <v>27</v>
      </c>
      <c r="D299" t="s">
        <v>18</v>
      </c>
      <c r="E299">
        <v>55477.61</v>
      </c>
      <c r="F299">
        <v>5903</v>
      </c>
      <c r="G299">
        <v>0.10199999999999999</v>
      </c>
      <c r="H299">
        <v>14</v>
      </c>
      <c r="I299">
        <v>96.2</v>
      </c>
      <c r="J299">
        <v>1.41</v>
      </c>
      <c r="K299">
        <v>0</v>
      </c>
      <c r="L299">
        <v>3.3</v>
      </c>
      <c r="M299">
        <v>763162.45</v>
      </c>
      <c r="N299">
        <v>162524.04999999999</v>
      </c>
    </row>
    <row r="300" spans="1:14">
      <c r="A300" t="s">
        <v>96</v>
      </c>
      <c r="B300" s="2">
        <v>45717</v>
      </c>
      <c r="C300" t="s">
        <v>27</v>
      </c>
      <c r="D300" t="s">
        <v>18</v>
      </c>
      <c r="E300">
        <v>46174.7</v>
      </c>
      <c r="F300">
        <v>4898</v>
      </c>
      <c r="G300">
        <v>0.114</v>
      </c>
      <c r="H300">
        <v>11</v>
      </c>
      <c r="I300">
        <v>91.7</v>
      </c>
      <c r="J300">
        <v>3.75</v>
      </c>
      <c r="K300">
        <v>0</v>
      </c>
      <c r="L300">
        <v>3.1</v>
      </c>
      <c r="M300">
        <v>599017.32999999996</v>
      </c>
      <c r="N300">
        <v>134009.92000000001</v>
      </c>
    </row>
    <row r="301" spans="1:14">
      <c r="A301" t="s">
        <v>96</v>
      </c>
      <c r="B301" s="2">
        <v>45748</v>
      </c>
      <c r="C301" t="s">
        <v>27</v>
      </c>
      <c r="D301" t="s">
        <v>18</v>
      </c>
      <c r="E301">
        <v>24362.98</v>
      </c>
      <c r="F301">
        <v>1462</v>
      </c>
      <c r="G301">
        <v>0.11700000000000001</v>
      </c>
      <c r="H301">
        <v>6</v>
      </c>
      <c r="I301">
        <v>89.3</v>
      </c>
      <c r="J301">
        <v>15.06</v>
      </c>
      <c r="K301">
        <v>0</v>
      </c>
      <c r="L301">
        <v>3.2</v>
      </c>
      <c r="M301">
        <v>401582.58</v>
      </c>
      <c r="N301">
        <v>68454.929999999993</v>
      </c>
    </row>
    <row r="302" spans="1:14">
      <c r="A302" t="s">
        <v>97</v>
      </c>
      <c r="B302" s="2">
        <v>45658</v>
      </c>
      <c r="C302" t="s">
        <v>20</v>
      </c>
      <c r="D302" t="s">
        <v>28</v>
      </c>
      <c r="E302">
        <v>40647.67</v>
      </c>
      <c r="F302">
        <v>8252</v>
      </c>
      <c r="G302">
        <v>0.14099999999999999</v>
      </c>
      <c r="H302">
        <v>22</v>
      </c>
      <c r="I302">
        <v>88.2</v>
      </c>
      <c r="J302">
        <v>5.07</v>
      </c>
      <c r="K302">
        <v>1</v>
      </c>
      <c r="L302">
        <v>4.0999999999999996</v>
      </c>
      <c r="M302">
        <v>703812.99</v>
      </c>
      <c r="N302">
        <v>133577.98000000001</v>
      </c>
    </row>
    <row r="303" spans="1:14">
      <c r="A303" t="s">
        <v>97</v>
      </c>
      <c r="B303" s="2">
        <v>45689</v>
      </c>
      <c r="C303" t="s">
        <v>20</v>
      </c>
      <c r="D303" t="s">
        <v>28</v>
      </c>
      <c r="E303">
        <v>63986.98</v>
      </c>
      <c r="F303">
        <v>7989</v>
      </c>
      <c r="G303">
        <v>7.3999999999999996E-2</v>
      </c>
      <c r="H303">
        <v>20</v>
      </c>
      <c r="I303">
        <v>83.3</v>
      </c>
      <c r="J303">
        <v>3.6</v>
      </c>
      <c r="K303">
        <v>0</v>
      </c>
      <c r="L303">
        <v>3.7</v>
      </c>
      <c r="M303">
        <v>724346.73</v>
      </c>
      <c r="N303">
        <v>155013.91</v>
      </c>
    </row>
    <row r="304" spans="1:14">
      <c r="A304" t="s">
        <v>97</v>
      </c>
      <c r="B304" s="2">
        <v>45717</v>
      </c>
      <c r="C304" t="s">
        <v>20</v>
      </c>
      <c r="D304" t="s">
        <v>28</v>
      </c>
      <c r="E304">
        <v>52843.75</v>
      </c>
      <c r="F304">
        <v>8268</v>
      </c>
      <c r="G304">
        <v>0.13800000000000001</v>
      </c>
      <c r="H304">
        <v>19</v>
      </c>
      <c r="I304">
        <v>87.3</v>
      </c>
      <c r="J304">
        <v>4.3899999999999997</v>
      </c>
      <c r="K304">
        <v>1</v>
      </c>
      <c r="L304">
        <v>4.7</v>
      </c>
      <c r="M304">
        <v>730890.01</v>
      </c>
      <c r="N304">
        <v>105502.56</v>
      </c>
    </row>
    <row r="305" spans="1:14">
      <c r="A305" t="s">
        <v>97</v>
      </c>
      <c r="B305" s="2">
        <v>45748</v>
      </c>
      <c r="C305" t="s">
        <v>20</v>
      </c>
      <c r="D305" t="s">
        <v>28</v>
      </c>
      <c r="E305">
        <v>31997.25</v>
      </c>
      <c r="F305">
        <v>8183</v>
      </c>
      <c r="G305">
        <v>0.19800000000000001</v>
      </c>
      <c r="H305">
        <v>18</v>
      </c>
      <c r="I305">
        <v>93</v>
      </c>
      <c r="J305">
        <v>2.79</v>
      </c>
      <c r="K305">
        <v>0</v>
      </c>
      <c r="L305">
        <v>4.2</v>
      </c>
      <c r="M305">
        <v>780580.95</v>
      </c>
      <c r="N305">
        <v>138144.46</v>
      </c>
    </row>
    <row r="306" spans="1:14">
      <c r="A306" t="s">
        <v>98</v>
      </c>
      <c r="B306" s="2">
        <v>45658</v>
      </c>
      <c r="C306" t="s">
        <v>24</v>
      </c>
      <c r="D306" t="s">
        <v>16</v>
      </c>
      <c r="E306">
        <v>54948.02</v>
      </c>
      <c r="F306">
        <v>6534</v>
      </c>
      <c r="G306">
        <v>0.183</v>
      </c>
      <c r="H306">
        <v>14</v>
      </c>
      <c r="I306">
        <v>94.5</v>
      </c>
      <c r="J306">
        <v>1.56</v>
      </c>
      <c r="K306">
        <v>0</v>
      </c>
      <c r="L306">
        <v>4</v>
      </c>
      <c r="M306">
        <v>727957.48</v>
      </c>
      <c r="N306">
        <v>74805.23</v>
      </c>
    </row>
    <row r="307" spans="1:14">
      <c r="A307" t="s">
        <v>98</v>
      </c>
      <c r="B307" s="2">
        <v>45689</v>
      </c>
      <c r="C307" t="s">
        <v>24</v>
      </c>
      <c r="D307" t="s">
        <v>16</v>
      </c>
      <c r="E307">
        <v>46146.239999999998</v>
      </c>
      <c r="F307">
        <v>5804</v>
      </c>
      <c r="G307">
        <v>4.7E-2</v>
      </c>
      <c r="H307">
        <v>16</v>
      </c>
      <c r="I307">
        <v>86.9</v>
      </c>
      <c r="J307">
        <v>15.82</v>
      </c>
      <c r="K307">
        <v>0</v>
      </c>
      <c r="L307">
        <v>3.8</v>
      </c>
      <c r="M307">
        <v>538376</v>
      </c>
      <c r="N307">
        <v>87605.62</v>
      </c>
    </row>
    <row r="308" spans="1:14">
      <c r="A308" t="s">
        <v>98</v>
      </c>
      <c r="B308" s="2">
        <v>45717</v>
      </c>
      <c r="C308" t="s">
        <v>24</v>
      </c>
      <c r="D308" t="s">
        <v>16</v>
      </c>
      <c r="E308">
        <v>22387.26</v>
      </c>
      <c r="F308">
        <v>6301</v>
      </c>
      <c r="G308">
        <v>0.14599999999999999</v>
      </c>
      <c r="H308">
        <v>14</v>
      </c>
      <c r="I308">
        <v>85.9</v>
      </c>
      <c r="J308">
        <v>1.17</v>
      </c>
      <c r="K308">
        <v>1</v>
      </c>
      <c r="L308">
        <v>3.7</v>
      </c>
      <c r="M308">
        <v>665342.49</v>
      </c>
      <c r="N308">
        <v>93441.81</v>
      </c>
    </row>
    <row r="309" spans="1:14">
      <c r="A309" t="s">
        <v>98</v>
      </c>
      <c r="B309" s="2">
        <v>45748</v>
      </c>
      <c r="C309" t="s">
        <v>24</v>
      </c>
      <c r="D309" t="s">
        <v>16</v>
      </c>
      <c r="E309">
        <v>60684.05</v>
      </c>
      <c r="F309">
        <v>6399</v>
      </c>
      <c r="G309">
        <v>7.4999999999999997E-2</v>
      </c>
      <c r="H309">
        <v>16</v>
      </c>
      <c r="I309">
        <v>99</v>
      </c>
      <c r="J309">
        <v>3.82</v>
      </c>
      <c r="K309">
        <v>0</v>
      </c>
      <c r="L309">
        <v>3.5</v>
      </c>
      <c r="M309">
        <v>651164.18000000005</v>
      </c>
      <c r="N309">
        <v>109466.5</v>
      </c>
    </row>
    <row r="310" spans="1:14">
      <c r="A310" t="s">
        <v>99</v>
      </c>
      <c r="B310" s="2">
        <v>45658</v>
      </c>
      <c r="C310" t="s">
        <v>24</v>
      </c>
      <c r="D310" t="s">
        <v>18</v>
      </c>
      <c r="E310">
        <v>48465.599999999999</v>
      </c>
      <c r="F310">
        <v>5759</v>
      </c>
      <c r="G310">
        <v>0.154</v>
      </c>
      <c r="H310">
        <v>13</v>
      </c>
      <c r="I310">
        <v>87.5</v>
      </c>
      <c r="J310">
        <v>4.1399999999999997</v>
      </c>
      <c r="K310">
        <v>0</v>
      </c>
      <c r="L310">
        <v>4</v>
      </c>
      <c r="M310">
        <v>628538.30000000005</v>
      </c>
      <c r="N310">
        <v>112509.15</v>
      </c>
    </row>
    <row r="311" spans="1:14">
      <c r="A311" t="s">
        <v>99</v>
      </c>
      <c r="B311" s="2">
        <v>45689</v>
      </c>
      <c r="C311" t="s">
        <v>24</v>
      </c>
      <c r="D311" t="s">
        <v>18</v>
      </c>
      <c r="E311">
        <v>23702.38</v>
      </c>
      <c r="F311">
        <v>5285</v>
      </c>
      <c r="G311">
        <v>0.16700000000000001</v>
      </c>
      <c r="H311">
        <v>14</v>
      </c>
      <c r="I311">
        <v>79.7</v>
      </c>
      <c r="J311">
        <v>1.1000000000000001</v>
      </c>
      <c r="K311">
        <v>0</v>
      </c>
      <c r="L311">
        <v>4.3</v>
      </c>
      <c r="M311">
        <v>536524.84</v>
      </c>
      <c r="N311">
        <v>92752.94</v>
      </c>
    </row>
    <row r="312" spans="1:14">
      <c r="A312" t="s">
        <v>99</v>
      </c>
      <c r="B312" s="2">
        <v>45717</v>
      </c>
      <c r="C312" t="s">
        <v>24</v>
      </c>
      <c r="D312" t="s">
        <v>18</v>
      </c>
      <c r="E312">
        <v>54322.94</v>
      </c>
      <c r="F312">
        <v>5434</v>
      </c>
      <c r="G312">
        <v>0.2</v>
      </c>
      <c r="H312">
        <v>13</v>
      </c>
      <c r="I312">
        <v>85.7</v>
      </c>
      <c r="J312">
        <v>10.6</v>
      </c>
      <c r="K312">
        <v>0</v>
      </c>
      <c r="L312">
        <v>4.2</v>
      </c>
      <c r="M312">
        <v>621677.30000000005</v>
      </c>
      <c r="N312">
        <v>105192.52</v>
      </c>
    </row>
    <row r="313" spans="1:14">
      <c r="A313" t="s">
        <v>99</v>
      </c>
      <c r="B313" s="2">
        <v>45748</v>
      </c>
      <c r="C313" t="s">
        <v>24</v>
      </c>
      <c r="D313" t="s">
        <v>18</v>
      </c>
      <c r="E313">
        <v>86026.58</v>
      </c>
      <c r="F313">
        <v>7479</v>
      </c>
      <c r="G313">
        <v>0.14199999999999999</v>
      </c>
      <c r="H313">
        <v>20</v>
      </c>
      <c r="I313">
        <v>89</v>
      </c>
      <c r="J313">
        <v>0.9</v>
      </c>
      <c r="K313">
        <v>0</v>
      </c>
      <c r="M313">
        <v>771129.07</v>
      </c>
      <c r="N313">
        <v>116851.13</v>
      </c>
    </row>
    <row r="314" spans="1:14">
      <c r="A314" t="s">
        <v>100</v>
      </c>
      <c r="B314" s="2">
        <v>45658</v>
      </c>
      <c r="C314" t="s">
        <v>20</v>
      </c>
      <c r="D314" t="s">
        <v>16</v>
      </c>
      <c r="E314">
        <v>78967.520000000004</v>
      </c>
      <c r="F314">
        <v>6164</v>
      </c>
      <c r="G314">
        <v>2.1000000000000001E-2</v>
      </c>
      <c r="H314">
        <v>16</v>
      </c>
      <c r="I314">
        <v>85.5</v>
      </c>
      <c r="J314">
        <v>0.2</v>
      </c>
      <c r="K314">
        <v>0</v>
      </c>
      <c r="L314">
        <v>3.4</v>
      </c>
      <c r="M314">
        <v>702052.47</v>
      </c>
      <c r="N314">
        <v>121732.51</v>
      </c>
    </row>
    <row r="315" spans="1:14">
      <c r="A315" t="s">
        <v>100</v>
      </c>
      <c r="B315" s="2">
        <v>45689</v>
      </c>
      <c r="C315" t="s">
        <v>20</v>
      </c>
      <c r="D315" t="s">
        <v>16</v>
      </c>
      <c r="E315">
        <v>46767.99</v>
      </c>
      <c r="F315">
        <v>7973</v>
      </c>
      <c r="G315">
        <v>0.183</v>
      </c>
      <c r="H315">
        <v>18</v>
      </c>
      <c r="I315">
        <v>94.8</v>
      </c>
      <c r="J315">
        <v>4.67</v>
      </c>
      <c r="K315">
        <v>0</v>
      </c>
      <c r="M315">
        <v>688368.46</v>
      </c>
      <c r="N315">
        <v>93588.42</v>
      </c>
    </row>
    <row r="316" spans="1:14">
      <c r="A316" t="s">
        <v>100</v>
      </c>
      <c r="B316" s="2">
        <v>45717</v>
      </c>
      <c r="C316" t="s">
        <v>20</v>
      </c>
      <c r="D316" t="s">
        <v>16</v>
      </c>
      <c r="E316">
        <v>62507.16</v>
      </c>
      <c r="F316">
        <v>6000</v>
      </c>
      <c r="G316">
        <v>9.0999999999999998E-2</v>
      </c>
      <c r="H316">
        <v>14</v>
      </c>
      <c r="I316">
        <v>98.2</v>
      </c>
      <c r="J316">
        <v>4.38</v>
      </c>
      <c r="K316">
        <v>1</v>
      </c>
      <c r="L316">
        <v>3.9</v>
      </c>
      <c r="M316">
        <v>712375.77</v>
      </c>
      <c r="N316">
        <v>104171.53</v>
      </c>
    </row>
    <row r="317" spans="1:14">
      <c r="A317" t="s">
        <v>100</v>
      </c>
      <c r="B317" s="2">
        <v>45748</v>
      </c>
      <c r="C317" t="s">
        <v>20</v>
      </c>
      <c r="D317" t="s">
        <v>16</v>
      </c>
      <c r="E317">
        <v>66456.28</v>
      </c>
      <c r="F317">
        <v>9967</v>
      </c>
      <c r="G317">
        <v>0.108</v>
      </c>
      <c r="H317">
        <v>20</v>
      </c>
      <c r="I317">
        <v>94.7</v>
      </c>
      <c r="J317">
        <v>4.4800000000000004</v>
      </c>
      <c r="K317">
        <v>0</v>
      </c>
      <c r="L317">
        <v>4.2</v>
      </c>
      <c r="M317">
        <v>844710.67</v>
      </c>
      <c r="N317">
        <v>137140.18</v>
      </c>
    </row>
    <row r="318" spans="1:14">
      <c r="A318" t="s">
        <v>101</v>
      </c>
      <c r="B318" s="2">
        <v>45658</v>
      </c>
      <c r="C318" t="s">
        <v>15</v>
      </c>
      <c r="D318" t="s">
        <v>16</v>
      </c>
      <c r="E318">
        <v>76614.320000000007</v>
      </c>
      <c r="F318">
        <v>5639</v>
      </c>
      <c r="G318">
        <v>0.17399999999999999</v>
      </c>
      <c r="H318">
        <v>15</v>
      </c>
      <c r="I318">
        <v>92.9</v>
      </c>
      <c r="J318">
        <v>1.02</v>
      </c>
      <c r="K318">
        <v>1</v>
      </c>
      <c r="L318">
        <v>4</v>
      </c>
      <c r="M318">
        <v>620264.19999999995</v>
      </c>
      <c r="N318">
        <v>91365.64</v>
      </c>
    </row>
    <row r="319" spans="1:14">
      <c r="A319" t="s">
        <v>101</v>
      </c>
      <c r="B319" s="2">
        <v>45689</v>
      </c>
      <c r="C319" t="s">
        <v>15</v>
      </c>
      <c r="D319" t="s">
        <v>16</v>
      </c>
      <c r="E319">
        <v>24088.06</v>
      </c>
      <c r="F319">
        <v>3466</v>
      </c>
      <c r="G319">
        <v>0</v>
      </c>
      <c r="H319">
        <v>11</v>
      </c>
      <c r="I319">
        <v>88</v>
      </c>
      <c r="J319">
        <v>0.2</v>
      </c>
      <c r="K319">
        <v>0</v>
      </c>
      <c r="L319">
        <v>3.8</v>
      </c>
      <c r="M319">
        <v>536845.42000000004</v>
      </c>
      <c r="N319">
        <v>107473.75</v>
      </c>
    </row>
    <row r="320" spans="1:14">
      <c r="A320" t="s">
        <v>101</v>
      </c>
      <c r="B320" s="2">
        <v>45717</v>
      </c>
      <c r="C320" t="s">
        <v>15</v>
      </c>
      <c r="D320" t="s">
        <v>16</v>
      </c>
      <c r="E320">
        <v>81902.58</v>
      </c>
      <c r="F320">
        <v>7775</v>
      </c>
      <c r="G320">
        <v>0.215</v>
      </c>
      <c r="H320">
        <v>20</v>
      </c>
      <c r="I320">
        <v>85.2</v>
      </c>
      <c r="J320">
        <v>4.8899999999999997</v>
      </c>
      <c r="K320">
        <v>1</v>
      </c>
      <c r="L320">
        <v>4.2</v>
      </c>
      <c r="M320">
        <v>726776.22</v>
      </c>
      <c r="N320">
        <v>90804.49</v>
      </c>
    </row>
    <row r="321" spans="1:14">
      <c r="A321" t="s">
        <v>101</v>
      </c>
      <c r="B321" s="2">
        <v>45748</v>
      </c>
      <c r="C321" t="s">
        <v>15</v>
      </c>
      <c r="D321" t="s">
        <v>16</v>
      </c>
      <c r="E321">
        <v>40553.11</v>
      </c>
      <c r="F321">
        <v>5317</v>
      </c>
      <c r="G321">
        <v>0.16500000000000001</v>
      </c>
      <c r="H321">
        <v>17</v>
      </c>
      <c r="I321">
        <v>84.3</v>
      </c>
      <c r="J321">
        <v>11.82</v>
      </c>
      <c r="K321">
        <v>0</v>
      </c>
      <c r="L321">
        <v>4.0999999999999996</v>
      </c>
      <c r="M321">
        <v>559660.84</v>
      </c>
      <c r="N321">
        <v>71443.61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057C4-01E0-4F54-9B35-CBDC7863D2D3}">
  <dimension ref="A1:R321"/>
  <sheetViews>
    <sheetView topLeftCell="D1" zoomScale="82" workbookViewId="0">
      <selection activeCell="F1" sqref="F1"/>
    </sheetView>
  </sheetViews>
  <sheetFormatPr defaultRowHeight="13.8"/>
  <cols>
    <col min="1" max="1" width="13.796875" customWidth="1"/>
    <col min="2" max="2" width="13.19921875" customWidth="1"/>
    <col min="3" max="3" width="15.796875" customWidth="1"/>
    <col min="4" max="4" width="19.09765625" customWidth="1"/>
    <col min="5" max="5" width="15.3984375" customWidth="1"/>
    <col min="6" max="6" width="11.09765625" customWidth="1"/>
    <col min="7" max="7" width="12.296875" customWidth="1"/>
    <col min="8" max="8" width="10.59765625" customWidth="1"/>
    <col min="9" max="9" width="16.59765625" customWidth="1"/>
    <col min="10" max="10" width="11.5" customWidth="1"/>
    <col min="11" max="11" width="15.8984375" customWidth="1"/>
    <col min="12" max="12" width="14.5" customWidth="1"/>
    <col min="13" max="13" width="13.296875" customWidth="1"/>
    <col min="14" max="14" width="12.19921875" customWidth="1"/>
    <col min="17" max="17" width="16.796875" customWidth="1"/>
    <col min="18" max="18" width="19.5" customWidth="1"/>
  </cols>
  <sheetData>
    <row r="1" spans="1:18" ht="41.4">
      <c r="A1" s="1" t="s">
        <v>0</v>
      </c>
      <c r="B1" s="1" t="s">
        <v>1</v>
      </c>
      <c r="C1" s="1" t="s">
        <v>2</v>
      </c>
      <c r="D1" s="1" t="s">
        <v>3</v>
      </c>
      <c r="E1" s="1" t="s">
        <v>4</v>
      </c>
      <c r="F1" s="1" t="s">
        <v>5</v>
      </c>
      <c r="G1" s="1" t="s">
        <v>6</v>
      </c>
      <c r="H1" s="1" t="s">
        <v>7</v>
      </c>
      <c r="I1" s="1" t="s">
        <v>8</v>
      </c>
      <c r="J1" s="1" t="s">
        <v>9</v>
      </c>
      <c r="K1" s="1" t="s">
        <v>10</v>
      </c>
      <c r="L1" s="1" t="s">
        <v>11</v>
      </c>
      <c r="M1" s="1" t="s">
        <v>12</v>
      </c>
      <c r="N1" s="1" t="s">
        <v>13</v>
      </c>
      <c r="Q1" s="4" t="s">
        <v>125</v>
      </c>
      <c r="R1" s="4" t="s">
        <v>126</v>
      </c>
    </row>
    <row r="2" spans="1:18" ht="45.6" customHeight="1">
      <c r="A2" t="s">
        <v>14</v>
      </c>
      <c r="B2" s="2">
        <v>45658</v>
      </c>
      <c r="C2" t="s">
        <v>15</v>
      </c>
      <c r="D2" t="s">
        <v>16</v>
      </c>
      <c r="E2">
        <v>70389.11</v>
      </c>
      <c r="F2">
        <v>8302</v>
      </c>
      <c r="G2">
        <v>4.2000000000000003E-2</v>
      </c>
      <c r="H2">
        <v>17</v>
      </c>
      <c r="I2">
        <v>75</v>
      </c>
      <c r="J2">
        <v>5.28</v>
      </c>
      <c r="K2">
        <v>1</v>
      </c>
      <c r="L2">
        <v>3.1</v>
      </c>
      <c r="M2">
        <v>658832.62</v>
      </c>
      <c r="N2">
        <v>84349.93</v>
      </c>
      <c r="Q2" t="s">
        <v>129</v>
      </c>
      <c r="R2" s="6">
        <v>320</v>
      </c>
    </row>
    <row r="3" spans="1:18" ht="64.8" customHeight="1">
      <c r="A3" t="s">
        <v>14</v>
      </c>
      <c r="B3" s="2">
        <v>45689</v>
      </c>
      <c r="C3" t="s">
        <v>15</v>
      </c>
      <c r="D3" t="s">
        <v>16</v>
      </c>
      <c r="E3">
        <v>43827.89</v>
      </c>
      <c r="F3">
        <v>8487</v>
      </c>
      <c r="G3">
        <v>0.16800000000000001</v>
      </c>
      <c r="H3">
        <v>23</v>
      </c>
      <c r="I3">
        <v>84.4</v>
      </c>
      <c r="J3">
        <v>4.3099999999999996</v>
      </c>
      <c r="K3">
        <v>0</v>
      </c>
      <c r="L3">
        <v>2.8</v>
      </c>
      <c r="M3">
        <v>634436</v>
      </c>
      <c r="N3">
        <v>106130.54</v>
      </c>
      <c r="Q3" s="5" t="s">
        <v>118</v>
      </c>
      <c r="R3" s="5" t="s">
        <v>127</v>
      </c>
    </row>
    <row r="4" spans="1:18" ht="56.4" customHeight="1">
      <c r="A4" t="s">
        <v>14</v>
      </c>
      <c r="B4" s="2">
        <v>45717</v>
      </c>
      <c r="C4" t="s">
        <v>15</v>
      </c>
      <c r="D4" t="s">
        <v>16</v>
      </c>
      <c r="E4">
        <v>59921.75</v>
      </c>
      <c r="F4">
        <v>9113</v>
      </c>
      <c r="G4">
        <v>0.13300000000000001</v>
      </c>
      <c r="H4">
        <v>20</v>
      </c>
      <c r="I4">
        <v>88</v>
      </c>
      <c r="J4">
        <v>12</v>
      </c>
      <c r="K4">
        <v>0</v>
      </c>
      <c r="L4">
        <v>3.2</v>
      </c>
      <c r="M4">
        <v>678722.06</v>
      </c>
      <c r="N4">
        <v>101883.86</v>
      </c>
      <c r="Q4" s="5" t="s">
        <v>119</v>
      </c>
      <c r="R4" s="5" t="s">
        <v>128</v>
      </c>
    </row>
    <row r="5" spans="1:18" ht="26.4" customHeight="1">
      <c r="A5" t="s">
        <v>14</v>
      </c>
      <c r="B5" s="2">
        <v>45748</v>
      </c>
      <c r="C5" t="s">
        <v>15</v>
      </c>
      <c r="D5" t="s">
        <v>16</v>
      </c>
      <c r="E5">
        <v>56856.63</v>
      </c>
      <c r="F5">
        <v>9431</v>
      </c>
      <c r="G5">
        <v>0.14199999999999999</v>
      </c>
      <c r="H5">
        <v>23</v>
      </c>
      <c r="I5">
        <v>86.9</v>
      </c>
      <c r="J5">
        <v>4.97</v>
      </c>
      <c r="K5">
        <v>0</v>
      </c>
      <c r="L5">
        <v>3.4</v>
      </c>
      <c r="M5">
        <v>658920.30000000005</v>
      </c>
      <c r="N5">
        <v>97910.37</v>
      </c>
      <c r="Q5" s="5" t="s">
        <v>120</v>
      </c>
      <c r="R5" s="5" t="s">
        <v>121</v>
      </c>
    </row>
    <row r="6" spans="1:18" ht="54" customHeight="1">
      <c r="A6" t="s">
        <v>17</v>
      </c>
      <c r="B6" s="2">
        <v>45658</v>
      </c>
      <c r="C6" t="s">
        <v>15</v>
      </c>
      <c r="D6" t="s">
        <v>18</v>
      </c>
      <c r="E6">
        <v>48412.639999999999</v>
      </c>
      <c r="F6">
        <v>9545</v>
      </c>
      <c r="G6">
        <v>0.23100000000000001</v>
      </c>
      <c r="H6">
        <v>21</v>
      </c>
      <c r="I6">
        <v>97.6</v>
      </c>
      <c r="J6">
        <v>6.94</v>
      </c>
      <c r="K6">
        <v>1</v>
      </c>
      <c r="L6">
        <v>4.2</v>
      </c>
      <c r="M6">
        <v>741341.44</v>
      </c>
      <c r="N6">
        <v>119208.17</v>
      </c>
      <c r="Q6" s="5" t="s">
        <v>122</v>
      </c>
      <c r="R6" s="5" t="s">
        <v>121</v>
      </c>
    </row>
    <row r="7" spans="1:18" ht="27.6">
      <c r="A7" t="s">
        <v>17</v>
      </c>
      <c r="B7" s="2">
        <v>45689</v>
      </c>
      <c r="C7" t="s">
        <v>15</v>
      </c>
      <c r="D7" t="s">
        <v>18</v>
      </c>
      <c r="E7">
        <v>64811.21</v>
      </c>
      <c r="F7">
        <v>9792</v>
      </c>
      <c r="G7">
        <v>0.112</v>
      </c>
      <c r="H7">
        <v>20</v>
      </c>
      <c r="I7">
        <v>84.2</v>
      </c>
      <c r="J7">
        <v>2.88</v>
      </c>
      <c r="K7">
        <v>0</v>
      </c>
      <c r="L7">
        <v>4.2</v>
      </c>
      <c r="M7">
        <v>761835.34</v>
      </c>
      <c r="N7">
        <v>149602.23000000001</v>
      </c>
      <c r="Q7" s="5" t="s">
        <v>123</v>
      </c>
      <c r="R7" s="5" t="s">
        <v>124</v>
      </c>
    </row>
    <row r="8" spans="1:18">
      <c r="A8" t="s">
        <v>17</v>
      </c>
      <c r="B8" s="2">
        <v>45717</v>
      </c>
      <c r="C8" t="s">
        <v>15</v>
      </c>
      <c r="D8" t="s">
        <v>18</v>
      </c>
      <c r="E8">
        <v>46213.45</v>
      </c>
      <c r="F8">
        <v>10616</v>
      </c>
      <c r="G8">
        <v>0.122</v>
      </c>
      <c r="H8">
        <v>22</v>
      </c>
      <c r="I8">
        <v>85.2</v>
      </c>
      <c r="J8">
        <v>0.2</v>
      </c>
      <c r="K8">
        <v>1</v>
      </c>
      <c r="L8">
        <v>4.0999999999999996</v>
      </c>
      <c r="M8">
        <v>806615.54</v>
      </c>
      <c r="N8">
        <v>131364.62</v>
      </c>
    </row>
    <row r="9" spans="1:18">
      <c r="A9" t="s">
        <v>17</v>
      </c>
      <c r="B9" s="2">
        <v>45748</v>
      </c>
      <c r="C9" t="s">
        <v>15</v>
      </c>
      <c r="D9" t="s">
        <v>18</v>
      </c>
      <c r="E9">
        <v>68148.52</v>
      </c>
      <c r="F9">
        <v>8567</v>
      </c>
      <c r="G9">
        <v>0.127</v>
      </c>
      <c r="H9">
        <v>23</v>
      </c>
      <c r="I9">
        <v>95.6</v>
      </c>
      <c r="J9">
        <v>0.8</v>
      </c>
      <c r="K9">
        <v>0</v>
      </c>
      <c r="L9">
        <v>3.9</v>
      </c>
      <c r="M9">
        <v>850164.26</v>
      </c>
      <c r="N9">
        <v>149262.75</v>
      </c>
    </row>
    <row r="10" spans="1:18">
      <c r="A10" t="s">
        <v>19</v>
      </c>
      <c r="B10" s="2">
        <v>45658</v>
      </c>
      <c r="C10" t="s">
        <v>20</v>
      </c>
      <c r="D10" t="s">
        <v>21</v>
      </c>
      <c r="E10">
        <v>71838.86</v>
      </c>
      <c r="F10">
        <v>10979</v>
      </c>
      <c r="G10">
        <v>0.215</v>
      </c>
      <c r="H10">
        <v>26</v>
      </c>
      <c r="I10">
        <v>88.6</v>
      </c>
      <c r="J10">
        <v>7.7</v>
      </c>
      <c r="K10">
        <v>1</v>
      </c>
      <c r="L10">
        <v>3.8</v>
      </c>
      <c r="M10">
        <v>930581.7</v>
      </c>
      <c r="N10">
        <v>136207.98000000001</v>
      </c>
    </row>
    <row r="11" spans="1:18">
      <c r="A11" t="s">
        <v>19</v>
      </c>
      <c r="B11" s="2">
        <v>45689</v>
      </c>
      <c r="C11" t="s">
        <v>20</v>
      </c>
      <c r="D11" t="s">
        <v>21</v>
      </c>
      <c r="E11">
        <v>68133.440000000002</v>
      </c>
      <c r="F11">
        <v>9459</v>
      </c>
      <c r="G11">
        <v>0.22</v>
      </c>
      <c r="H11">
        <v>21</v>
      </c>
      <c r="I11">
        <v>85</v>
      </c>
      <c r="J11">
        <v>1.91</v>
      </c>
      <c r="K11">
        <v>0</v>
      </c>
      <c r="L11">
        <v>4.2</v>
      </c>
      <c r="M11">
        <v>779010.94</v>
      </c>
      <c r="N11">
        <v>106328.09</v>
      </c>
    </row>
    <row r="12" spans="1:18">
      <c r="A12" t="s">
        <v>19</v>
      </c>
      <c r="B12" s="2">
        <v>45717</v>
      </c>
      <c r="C12" t="s">
        <v>20</v>
      </c>
      <c r="D12" t="s">
        <v>21</v>
      </c>
      <c r="E12">
        <v>34285.21</v>
      </c>
      <c r="F12">
        <v>9172</v>
      </c>
      <c r="G12">
        <v>0.21299999999999999</v>
      </c>
      <c r="H12">
        <v>22</v>
      </c>
      <c r="I12">
        <v>88.3</v>
      </c>
      <c r="J12">
        <v>10.46</v>
      </c>
      <c r="K12">
        <v>1</v>
      </c>
      <c r="L12">
        <v>3.8</v>
      </c>
      <c r="M12">
        <v>723060.76</v>
      </c>
      <c r="N12">
        <v>123131.24</v>
      </c>
    </row>
    <row r="13" spans="1:18">
      <c r="A13" t="s">
        <v>19</v>
      </c>
      <c r="B13" s="2">
        <v>45748</v>
      </c>
      <c r="C13" t="s">
        <v>20</v>
      </c>
      <c r="D13" t="s">
        <v>21</v>
      </c>
      <c r="E13">
        <v>67979.88</v>
      </c>
      <c r="F13">
        <v>11230</v>
      </c>
      <c r="G13">
        <v>2E-3</v>
      </c>
      <c r="H13">
        <v>28</v>
      </c>
      <c r="I13">
        <v>85.3</v>
      </c>
      <c r="J13">
        <v>7.16</v>
      </c>
      <c r="K13">
        <v>0</v>
      </c>
      <c r="L13">
        <v>3.8</v>
      </c>
      <c r="M13">
        <v>910791.94</v>
      </c>
      <c r="N13">
        <v>158891.28</v>
      </c>
    </row>
    <row r="14" spans="1:18">
      <c r="A14" t="s">
        <v>22</v>
      </c>
      <c r="B14" s="2">
        <v>45658</v>
      </c>
      <c r="C14" t="s">
        <v>15</v>
      </c>
      <c r="D14" t="s">
        <v>16</v>
      </c>
      <c r="E14">
        <v>71828.259999999995</v>
      </c>
      <c r="F14">
        <v>12775</v>
      </c>
      <c r="G14">
        <v>0.11600000000000001</v>
      </c>
      <c r="H14">
        <v>30</v>
      </c>
      <c r="I14">
        <v>81.7</v>
      </c>
      <c r="J14">
        <v>4.24</v>
      </c>
      <c r="K14">
        <v>1</v>
      </c>
      <c r="L14">
        <v>4.2</v>
      </c>
      <c r="M14">
        <v>922168.6</v>
      </c>
      <c r="N14">
        <v>107494.53</v>
      </c>
    </row>
    <row r="15" spans="1:18">
      <c r="A15" t="s">
        <v>22</v>
      </c>
      <c r="B15" s="2">
        <v>45689</v>
      </c>
      <c r="C15" t="s">
        <v>15</v>
      </c>
      <c r="D15" t="s">
        <v>16</v>
      </c>
      <c r="E15">
        <v>55716.82</v>
      </c>
      <c r="F15">
        <v>10054</v>
      </c>
      <c r="G15">
        <v>0.14599999999999999</v>
      </c>
      <c r="H15">
        <v>24</v>
      </c>
      <c r="I15">
        <v>84.9</v>
      </c>
      <c r="J15">
        <v>1.06</v>
      </c>
      <c r="K15">
        <v>0</v>
      </c>
      <c r="L15">
        <v>4.3</v>
      </c>
      <c r="M15">
        <v>726606.28</v>
      </c>
      <c r="N15">
        <v>122729.29</v>
      </c>
    </row>
    <row r="16" spans="1:18">
      <c r="A16" t="s">
        <v>22</v>
      </c>
      <c r="B16" s="2">
        <v>45717</v>
      </c>
      <c r="C16" t="s">
        <v>15</v>
      </c>
      <c r="D16" t="s">
        <v>16</v>
      </c>
      <c r="E16">
        <v>59909.51</v>
      </c>
      <c r="F16">
        <v>8895</v>
      </c>
      <c r="G16">
        <v>0.22800000000000001</v>
      </c>
      <c r="H16">
        <v>23</v>
      </c>
      <c r="I16">
        <v>88.8</v>
      </c>
      <c r="J16">
        <v>0.27</v>
      </c>
      <c r="K16">
        <v>0</v>
      </c>
      <c r="L16">
        <v>4.3</v>
      </c>
      <c r="M16">
        <v>746501.09</v>
      </c>
      <c r="N16">
        <v>136816.72</v>
      </c>
    </row>
    <row r="17" spans="1:14">
      <c r="A17" t="s">
        <v>22</v>
      </c>
      <c r="B17" s="2">
        <v>45748</v>
      </c>
      <c r="C17" t="s">
        <v>15</v>
      </c>
      <c r="D17" t="s">
        <v>16</v>
      </c>
      <c r="E17">
        <v>75305.710000000006</v>
      </c>
      <c r="F17">
        <v>10940</v>
      </c>
      <c r="G17">
        <v>6.0000000000000001E-3</v>
      </c>
      <c r="H17">
        <v>26</v>
      </c>
      <c r="I17">
        <v>76.5</v>
      </c>
      <c r="J17">
        <v>1.32</v>
      </c>
      <c r="K17">
        <v>0</v>
      </c>
      <c r="L17">
        <v>4.5</v>
      </c>
      <c r="M17">
        <v>834017.02</v>
      </c>
      <c r="N17">
        <v>114745.03</v>
      </c>
    </row>
    <row r="18" spans="1:14">
      <c r="A18" t="s">
        <v>23</v>
      </c>
      <c r="B18" s="2">
        <v>45658</v>
      </c>
      <c r="C18" t="s">
        <v>24</v>
      </c>
      <c r="D18" t="s">
        <v>16</v>
      </c>
      <c r="E18">
        <v>48804.22</v>
      </c>
      <c r="F18">
        <v>7057</v>
      </c>
      <c r="G18">
        <v>5.0000000000000001E-3</v>
      </c>
      <c r="H18">
        <v>15</v>
      </c>
      <c r="I18">
        <v>87.7</v>
      </c>
      <c r="J18">
        <v>1.22</v>
      </c>
      <c r="K18">
        <v>0</v>
      </c>
      <c r="L18">
        <v>3.7</v>
      </c>
      <c r="M18">
        <v>666152.52</v>
      </c>
      <c r="N18">
        <v>107490.58</v>
      </c>
    </row>
    <row r="19" spans="1:14">
      <c r="A19" t="s">
        <v>23</v>
      </c>
      <c r="B19" s="2">
        <v>45689</v>
      </c>
      <c r="C19" t="s">
        <v>24</v>
      </c>
      <c r="D19" t="s">
        <v>16</v>
      </c>
      <c r="E19">
        <v>59117.9</v>
      </c>
      <c r="F19">
        <v>4263</v>
      </c>
      <c r="G19">
        <v>0.11899999999999999</v>
      </c>
      <c r="H19">
        <v>9</v>
      </c>
      <c r="I19">
        <v>87.6</v>
      </c>
      <c r="J19">
        <v>4.01</v>
      </c>
      <c r="K19">
        <v>0</v>
      </c>
      <c r="L19">
        <v>3.6</v>
      </c>
      <c r="M19">
        <v>573155.18999999994</v>
      </c>
      <c r="N19">
        <v>83680.75</v>
      </c>
    </row>
    <row r="20" spans="1:14">
      <c r="A20" t="s">
        <v>23</v>
      </c>
      <c r="B20" s="2">
        <v>45717</v>
      </c>
      <c r="C20" t="s">
        <v>24</v>
      </c>
      <c r="D20" t="s">
        <v>16</v>
      </c>
      <c r="E20">
        <v>78831.12</v>
      </c>
      <c r="F20">
        <v>5538</v>
      </c>
      <c r="G20">
        <v>0</v>
      </c>
      <c r="H20">
        <v>15</v>
      </c>
      <c r="I20">
        <v>94.1</v>
      </c>
      <c r="J20">
        <v>0.2</v>
      </c>
      <c r="K20">
        <v>0</v>
      </c>
      <c r="L20">
        <v>3.9</v>
      </c>
      <c r="M20">
        <v>666573.19999999995</v>
      </c>
      <c r="N20">
        <v>140641.01999999999</v>
      </c>
    </row>
    <row r="21" spans="1:14">
      <c r="A21" t="s">
        <v>23</v>
      </c>
      <c r="B21" s="2">
        <v>45748</v>
      </c>
      <c r="C21" t="s">
        <v>24</v>
      </c>
      <c r="D21" t="s">
        <v>16</v>
      </c>
      <c r="E21">
        <v>41441.93</v>
      </c>
      <c r="F21">
        <v>4865</v>
      </c>
      <c r="G21">
        <v>0.158</v>
      </c>
      <c r="H21">
        <v>16</v>
      </c>
      <c r="I21">
        <v>88.3</v>
      </c>
      <c r="J21">
        <v>0.5</v>
      </c>
      <c r="K21">
        <v>0</v>
      </c>
      <c r="L21">
        <v>4</v>
      </c>
      <c r="M21">
        <v>591619.94999999995</v>
      </c>
      <c r="N21">
        <v>99521.35</v>
      </c>
    </row>
    <row r="22" spans="1:14">
      <c r="A22" t="s">
        <v>25</v>
      </c>
      <c r="B22" s="2">
        <v>45658</v>
      </c>
      <c r="C22" t="s">
        <v>20</v>
      </c>
      <c r="D22" t="s">
        <v>16</v>
      </c>
      <c r="E22">
        <v>30356.28</v>
      </c>
      <c r="F22">
        <v>2822</v>
      </c>
      <c r="G22">
        <v>0.23100000000000001</v>
      </c>
      <c r="H22">
        <v>9</v>
      </c>
      <c r="I22">
        <v>84.8</v>
      </c>
      <c r="J22">
        <v>6.95</v>
      </c>
      <c r="K22">
        <v>0</v>
      </c>
      <c r="L22">
        <v>5</v>
      </c>
      <c r="M22">
        <v>415721.82</v>
      </c>
      <c r="N22">
        <v>61179.15</v>
      </c>
    </row>
    <row r="23" spans="1:14">
      <c r="A23" t="s">
        <v>25</v>
      </c>
      <c r="B23" s="2">
        <v>45689</v>
      </c>
      <c r="C23" t="s">
        <v>20</v>
      </c>
      <c r="D23" t="s">
        <v>16</v>
      </c>
      <c r="E23">
        <v>33518.879999999997</v>
      </c>
      <c r="F23">
        <v>2121</v>
      </c>
      <c r="G23">
        <v>0.17599999999999999</v>
      </c>
      <c r="H23">
        <v>8</v>
      </c>
      <c r="I23">
        <v>88.5</v>
      </c>
      <c r="J23">
        <v>0.2</v>
      </c>
      <c r="K23">
        <v>0</v>
      </c>
      <c r="L23">
        <v>5</v>
      </c>
      <c r="M23">
        <v>491905.13</v>
      </c>
      <c r="N23">
        <v>79212.259999999995</v>
      </c>
    </row>
    <row r="24" spans="1:14">
      <c r="A24" t="s">
        <v>25</v>
      </c>
      <c r="B24" s="2">
        <v>45717</v>
      </c>
      <c r="C24" t="s">
        <v>20</v>
      </c>
      <c r="D24" t="s">
        <v>16</v>
      </c>
      <c r="E24">
        <v>42267.37</v>
      </c>
      <c r="F24">
        <v>3364</v>
      </c>
      <c r="G24">
        <v>0.16</v>
      </c>
      <c r="H24">
        <v>13</v>
      </c>
      <c r="I24">
        <v>82</v>
      </c>
      <c r="J24">
        <v>1.61</v>
      </c>
      <c r="K24">
        <v>1</v>
      </c>
      <c r="L24">
        <v>4.5999999999999996</v>
      </c>
      <c r="M24">
        <v>555929.4</v>
      </c>
      <c r="N24">
        <v>115201.76</v>
      </c>
    </row>
    <row r="25" spans="1:14">
      <c r="A25" t="s">
        <v>25</v>
      </c>
      <c r="B25" s="2">
        <v>45748</v>
      </c>
      <c r="C25" t="s">
        <v>20</v>
      </c>
      <c r="D25" t="s">
        <v>16</v>
      </c>
      <c r="E25">
        <v>62060.43</v>
      </c>
      <c r="F25">
        <v>2613</v>
      </c>
      <c r="G25">
        <v>0.216</v>
      </c>
      <c r="H25">
        <v>12</v>
      </c>
      <c r="I25">
        <v>92.1</v>
      </c>
      <c r="J25">
        <v>1.55</v>
      </c>
      <c r="K25">
        <v>0</v>
      </c>
      <c r="L25">
        <v>4.7</v>
      </c>
      <c r="M25">
        <v>565810.99</v>
      </c>
      <c r="N25">
        <v>77825.460000000006</v>
      </c>
    </row>
    <row r="26" spans="1:14">
      <c r="A26" t="s">
        <v>26</v>
      </c>
      <c r="B26" s="2">
        <v>45658</v>
      </c>
      <c r="C26" t="s">
        <v>27</v>
      </c>
      <c r="D26" t="s">
        <v>28</v>
      </c>
      <c r="E26">
        <v>57696.69</v>
      </c>
      <c r="F26">
        <v>10218</v>
      </c>
      <c r="G26">
        <v>0.121</v>
      </c>
      <c r="H26">
        <v>25</v>
      </c>
      <c r="I26">
        <v>94.8</v>
      </c>
      <c r="J26">
        <v>2.99</v>
      </c>
      <c r="K26">
        <v>0</v>
      </c>
      <c r="L26">
        <v>3.5</v>
      </c>
      <c r="M26">
        <v>811771.14</v>
      </c>
      <c r="N26">
        <v>148756.24</v>
      </c>
    </row>
    <row r="27" spans="1:14">
      <c r="A27" t="s">
        <v>26</v>
      </c>
      <c r="B27" s="2">
        <v>45689</v>
      </c>
      <c r="C27" t="s">
        <v>27</v>
      </c>
      <c r="D27" t="s">
        <v>28</v>
      </c>
      <c r="E27">
        <v>172415.52</v>
      </c>
      <c r="F27">
        <v>8927</v>
      </c>
      <c r="G27">
        <v>0.14000000000000001</v>
      </c>
      <c r="H27">
        <v>22</v>
      </c>
      <c r="I27">
        <v>86.2</v>
      </c>
      <c r="J27">
        <v>7.04</v>
      </c>
      <c r="K27">
        <v>0</v>
      </c>
      <c r="L27">
        <v>3.9</v>
      </c>
      <c r="M27">
        <v>800451.94</v>
      </c>
      <c r="N27">
        <v>111572.29</v>
      </c>
    </row>
    <row r="28" spans="1:14">
      <c r="A28" t="s">
        <v>26</v>
      </c>
      <c r="B28" s="2">
        <v>45717</v>
      </c>
      <c r="C28" t="s">
        <v>27</v>
      </c>
      <c r="D28" t="s">
        <v>28</v>
      </c>
      <c r="E28">
        <v>55270.52</v>
      </c>
      <c r="F28">
        <v>9315</v>
      </c>
      <c r="G28">
        <v>0.16900000000000001</v>
      </c>
      <c r="H28">
        <v>23</v>
      </c>
      <c r="I28">
        <v>91.9</v>
      </c>
      <c r="J28">
        <v>4.9400000000000004</v>
      </c>
      <c r="K28">
        <v>0</v>
      </c>
      <c r="L28">
        <v>4</v>
      </c>
      <c r="M28">
        <v>783672.82</v>
      </c>
      <c r="N28">
        <v>112577.14</v>
      </c>
    </row>
    <row r="29" spans="1:14">
      <c r="A29" t="s">
        <v>26</v>
      </c>
      <c r="B29" s="2">
        <v>45748</v>
      </c>
      <c r="C29" t="s">
        <v>27</v>
      </c>
      <c r="D29" t="s">
        <v>28</v>
      </c>
      <c r="E29">
        <v>52715.1</v>
      </c>
      <c r="F29">
        <v>7223</v>
      </c>
      <c r="G29">
        <v>0.122</v>
      </c>
      <c r="H29">
        <v>16</v>
      </c>
      <c r="I29">
        <v>84.2</v>
      </c>
      <c r="J29">
        <v>16.149999999999999</v>
      </c>
      <c r="K29">
        <v>0</v>
      </c>
      <c r="L29">
        <v>3.7</v>
      </c>
      <c r="M29">
        <v>701641.97</v>
      </c>
      <c r="N29">
        <v>106111.86</v>
      </c>
    </row>
    <row r="30" spans="1:14">
      <c r="A30" t="s">
        <v>29</v>
      </c>
      <c r="B30" s="2">
        <v>45658</v>
      </c>
      <c r="C30" t="s">
        <v>15</v>
      </c>
      <c r="D30" t="s">
        <v>16</v>
      </c>
      <c r="E30">
        <v>68600.62</v>
      </c>
      <c r="F30">
        <v>3988</v>
      </c>
      <c r="G30">
        <v>0.124</v>
      </c>
      <c r="H30">
        <v>11</v>
      </c>
      <c r="I30">
        <v>85</v>
      </c>
      <c r="J30">
        <v>0.48</v>
      </c>
      <c r="K30">
        <v>0</v>
      </c>
      <c r="L30">
        <v>3.6</v>
      </c>
      <c r="M30">
        <v>511844.41</v>
      </c>
      <c r="N30">
        <v>72774.44</v>
      </c>
    </row>
    <row r="31" spans="1:14">
      <c r="A31" t="s">
        <v>29</v>
      </c>
      <c r="B31" s="2">
        <v>45689</v>
      </c>
      <c r="C31" t="s">
        <v>15</v>
      </c>
      <c r="D31" t="s">
        <v>16</v>
      </c>
      <c r="E31">
        <v>63176.73</v>
      </c>
      <c r="F31">
        <v>2390</v>
      </c>
      <c r="G31">
        <v>0.216</v>
      </c>
      <c r="H31">
        <v>9</v>
      </c>
      <c r="I31">
        <v>87.5</v>
      </c>
      <c r="J31">
        <v>0.31</v>
      </c>
      <c r="K31">
        <v>0</v>
      </c>
      <c r="L31">
        <v>3.1</v>
      </c>
      <c r="M31">
        <v>537383.79</v>
      </c>
      <c r="N31">
        <v>63773.27</v>
      </c>
    </row>
    <row r="32" spans="1:14">
      <c r="A32" t="s">
        <v>29</v>
      </c>
      <c r="B32" s="2">
        <v>45717</v>
      </c>
      <c r="C32" t="s">
        <v>15</v>
      </c>
      <c r="D32" t="s">
        <v>16</v>
      </c>
      <c r="E32">
        <v>44970.080000000002</v>
      </c>
      <c r="F32">
        <v>2471</v>
      </c>
      <c r="G32">
        <v>0.13600000000000001</v>
      </c>
      <c r="H32">
        <v>11</v>
      </c>
      <c r="I32">
        <v>87.6</v>
      </c>
      <c r="J32">
        <v>3.01</v>
      </c>
      <c r="K32">
        <v>1</v>
      </c>
      <c r="L32">
        <v>3.7</v>
      </c>
      <c r="M32">
        <v>500173.02</v>
      </c>
      <c r="N32">
        <v>70982.05</v>
      </c>
    </row>
    <row r="33" spans="1:14">
      <c r="A33" t="s">
        <v>29</v>
      </c>
      <c r="B33" s="2">
        <v>45748</v>
      </c>
      <c r="C33" t="s">
        <v>15</v>
      </c>
      <c r="D33" t="s">
        <v>16</v>
      </c>
      <c r="E33">
        <v>69816.350000000006</v>
      </c>
      <c r="F33">
        <v>971</v>
      </c>
      <c r="G33">
        <v>0.16800000000000001</v>
      </c>
      <c r="H33">
        <v>5</v>
      </c>
      <c r="I33">
        <v>89.9</v>
      </c>
      <c r="J33">
        <v>12.15</v>
      </c>
      <c r="K33">
        <v>0</v>
      </c>
      <c r="L33">
        <v>3.6</v>
      </c>
      <c r="M33">
        <v>427917.38</v>
      </c>
      <c r="N33">
        <v>81824.31</v>
      </c>
    </row>
    <row r="34" spans="1:14">
      <c r="A34" t="s">
        <v>30</v>
      </c>
      <c r="B34" s="2">
        <v>45658</v>
      </c>
      <c r="C34" t="s">
        <v>20</v>
      </c>
      <c r="D34" t="s">
        <v>16</v>
      </c>
      <c r="E34">
        <v>54597.83</v>
      </c>
      <c r="F34">
        <v>9429</v>
      </c>
      <c r="G34">
        <v>0.188</v>
      </c>
      <c r="H34">
        <v>21</v>
      </c>
      <c r="I34">
        <v>83.3</v>
      </c>
      <c r="J34">
        <v>11.71</v>
      </c>
      <c r="K34">
        <v>0</v>
      </c>
      <c r="L34">
        <v>4.2</v>
      </c>
      <c r="M34">
        <v>641865.03</v>
      </c>
      <c r="N34">
        <v>81342.58</v>
      </c>
    </row>
    <row r="35" spans="1:14">
      <c r="A35" t="s">
        <v>30</v>
      </c>
      <c r="B35" s="2">
        <v>45689</v>
      </c>
      <c r="C35" t="s">
        <v>20</v>
      </c>
      <c r="D35" t="s">
        <v>16</v>
      </c>
      <c r="E35">
        <v>73771.91</v>
      </c>
      <c r="F35">
        <v>11695</v>
      </c>
      <c r="G35">
        <v>7.0000000000000007E-2</v>
      </c>
      <c r="H35">
        <v>25</v>
      </c>
      <c r="I35">
        <v>84.7</v>
      </c>
      <c r="J35">
        <v>0.62</v>
      </c>
      <c r="K35">
        <v>0</v>
      </c>
      <c r="L35">
        <v>3.9246794871794899</v>
      </c>
      <c r="M35">
        <v>799477.76000000001</v>
      </c>
      <c r="N35">
        <v>164974.41</v>
      </c>
    </row>
    <row r="36" spans="1:14">
      <c r="A36" t="s">
        <v>30</v>
      </c>
      <c r="B36" s="2">
        <v>45717</v>
      </c>
      <c r="C36" t="s">
        <v>20</v>
      </c>
      <c r="D36" t="s">
        <v>16</v>
      </c>
      <c r="E36">
        <v>74413.88</v>
      </c>
      <c r="F36">
        <v>9449</v>
      </c>
      <c r="G36">
        <v>3.9E-2</v>
      </c>
      <c r="H36">
        <v>23</v>
      </c>
      <c r="I36">
        <v>92.1</v>
      </c>
      <c r="J36">
        <v>2.12</v>
      </c>
      <c r="K36">
        <v>0</v>
      </c>
      <c r="L36">
        <v>3.5</v>
      </c>
      <c r="M36">
        <v>798952.17</v>
      </c>
      <c r="N36">
        <v>161499.04</v>
      </c>
    </row>
    <row r="37" spans="1:14">
      <c r="A37" t="s">
        <v>30</v>
      </c>
      <c r="B37" s="2">
        <v>45748</v>
      </c>
      <c r="C37" t="s">
        <v>20</v>
      </c>
      <c r="D37" t="s">
        <v>16</v>
      </c>
      <c r="E37">
        <v>52483.77</v>
      </c>
      <c r="F37">
        <v>10453</v>
      </c>
      <c r="G37">
        <v>0.247</v>
      </c>
      <c r="H37">
        <v>25</v>
      </c>
      <c r="I37">
        <v>99</v>
      </c>
      <c r="J37">
        <v>6.31</v>
      </c>
      <c r="K37">
        <v>0</v>
      </c>
      <c r="L37">
        <v>3.6</v>
      </c>
      <c r="M37">
        <v>800979.78</v>
      </c>
      <c r="N37">
        <v>149242.26999999999</v>
      </c>
    </row>
    <row r="38" spans="1:14">
      <c r="A38" t="s">
        <v>31</v>
      </c>
      <c r="B38" s="2">
        <v>45658</v>
      </c>
      <c r="C38" t="s">
        <v>20</v>
      </c>
      <c r="D38" t="s">
        <v>28</v>
      </c>
      <c r="E38">
        <v>75269.87</v>
      </c>
      <c r="F38">
        <v>8838</v>
      </c>
      <c r="G38">
        <v>9.1999999999999998E-2</v>
      </c>
      <c r="H38">
        <v>21</v>
      </c>
      <c r="I38">
        <v>83.1</v>
      </c>
      <c r="J38">
        <v>9.56</v>
      </c>
      <c r="K38">
        <v>1</v>
      </c>
      <c r="L38">
        <v>4.2</v>
      </c>
      <c r="M38">
        <v>820593.93</v>
      </c>
      <c r="N38">
        <v>115860.06</v>
      </c>
    </row>
    <row r="39" spans="1:14">
      <c r="A39" t="s">
        <v>31</v>
      </c>
      <c r="B39" s="2">
        <v>45689</v>
      </c>
      <c r="C39" t="s">
        <v>20</v>
      </c>
      <c r="D39" t="s">
        <v>28</v>
      </c>
      <c r="E39">
        <v>61245.41</v>
      </c>
      <c r="F39">
        <v>8156</v>
      </c>
      <c r="G39">
        <v>0.156</v>
      </c>
      <c r="H39">
        <v>19</v>
      </c>
      <c r="I39">
        <v>92.9</v>
      </c>
      <c r="J39">
        <v>9.0500000000000007</v>
      </c>
      <c r="K39">
        <v>0</v>
      </c>
      <c r="L39">
        <v>3.8</v>
      </c>
      <c r="M39">
        <v>718330.53</v>
      </c>
      <c r="N39">
        <v>93247.9</v>
      </c>
    </row>
    <row r="40" spans="1:14">
      <c r="A40" t="s">
        <v>31</v>
      </c>
      <c r="B40" s="2">
        <v>45717</v>
      </c>
      <c r="C40" t="s">
        <v>20</v>
      </c>
      <c r="D40" t="s">
        <v>28</v>
      </c>
      <c r="E40">
        <v>93381.26</v>
      </c>
      <c r="F40">
        <v>7562</v>
      </c>
      <c r="G40">
        <v>0.19800000000000001</v>
      </c>
      <c r="H40">
        <v>19</v>
      </c>
      <c r="I40">
        <v>82.9</v>
      </c>
      <c r="J40">
        <v>5.05</v>
      </c>
      <c r="K40">
        <v>0</v>
      </c>
      <c r="L40">
        <v>4</v>
      </c>
      <c r="M40">
        <v>736633.4</v>
      </c>
      <c r="N40">
        <v>115654.66</v>
      </c>
    </row>
    <row r="41" spans="1:14">
      <c r="A41" t="s">
        <v>31</v>
      </c>
      <c r="B41" s="2">
        <v>45748</v>
      </c>
      <c r="C41" t="s">
        <v>20</v>
      </c>
      <c r="D41" t="s">
        <v>28</v>
      </c>
      <c r="E41">
        <v>65012.19</v>
      </c>
      <c r="F41">
        <v>9598</v>
      </c>
      <c r="G41">
        <v>8.5000000000000006E-2</v>
      </c>
      <c r="H41">
        <v>24</v>
      </c>
      <c r="I41">
        <v>98.3</v>
      </c>
      <c r="J41">
        <v>0.89</v>
      </c>
      <c r="K41">
        <v>0</v>
      </c>
      <c r="L41">
        <v>3.8</v>
      </c>
      <c r="M41">
        <v>828623.85</v>
      </c>
      <c r="N41">
        <v>167320.51999999999</v>
      </c>
    </row>
    <row r="42" spans="1:14">
      <c r="A42" t="s">
        <v>32</v>
      </c>
      <c r="B42" s="2">
        <v>45658</v>
      </c>
      <c r="C42" t="s">
        <v>15</v>
      </c>
      <c r="D42" t="s">
        <v>28</v>
      </c>
      <c r="E42">
        <v>40462.94</v>
      </c>
      <c r="F42">
        <v>3660</v>
      </c>
      <c r="G42">
        <v>0.218</v>
      </c>
      <c r="H42">
        <v>11</v>
      </c>
      <c r="I42">
        <v>95.2</v>
      </c>
      <c r="J42">
        <v>5.57</v>
      </c>
      <c r="K42">
        <v>0</v>
      </c>
      <c r="L42">
        <v>4.4000000000000004</v>
      </c>
      <c r="M42">
        <v>592195.85</v>
      </c>
      <c r="N42">
        <v>92291.56</v>
      </c>
    </row>
    <row r="43" spans="1:14">
      <c r="A43" t="s">
        <v>32</v>
      </c>
      <c r="B43" s="2">
        <v>45689</v>
      </c>
      <c r="C43" t="s">
        <v>15</v>
      </c>
      <c r="D43" t="s">
        <v>28</v>
      </c>
      <c r="E43">
        <v>46123.88</v>
      </c>
      <c r="F43">
        <v>3227</v>
      </c>
      <c r="G43">
        <v>0.14299999999999999</v>
      </c>
      <c r="H43">
        <v>10</v>
      </c>
      <c r="I43">
        <v>75.400000000000006</v>
      </c>
      <c r="J43">
        <v>1.06</v>
      </c>
      <c r="K43">
        <v>0</v>
      </c>
      <c r="L43">
        <v>4.4000000000000004</v>
      </c>
      <c r="M43">
        <v>532644.46</v>
      </c>
      <c r="N43">
        <v>60681.32</v>
      </c>
    </row>
    <row r="44" spans="1:14">
      <c r="A44" t="s">
        <v>32</v>
      </c>
      <c r="B44" s="2">
        <v>45717</v>
      </c>
      <c r="C44" t="s">
        <v>15</v>
      </c>
      <c r="D44" t="s">
        <v>28</v>
      </c>
      <c r="E44">
        <v>68077.539999999994</v>
      </c>
      <c r="F44">
        <v>3360</v>
      </c>
      <c r="G44">
        <v>0.128</v>
      </c>
      <c r="H44">
        <v>14</v>
      </c>
      <c r="I44">
        <v>88.2</v>
      </c>
      <c r="J44">
        <v>1.24</v>
      </c>
      <c r="K44">
        <v>1</v>
      </c>
      <c r="L44">
        <v>4</v>
      </c>
      <c r="M44">
        <v>657429.18000000005</v>
      </c>
      <c r="N44">
        <v>88919.74</v>
      </c>
    </row>
    <row r="45" spans="1:14">
      <c r="A45" t="s">
        <v>32</v>
      </c>
      <c r="B45" s="2">
        <v>45748</v>
      </c>
      <c r="C45" t="s">
        <v>15</v>
      </c>
      <c r="D45" t="s">
        <v>28</v>
      </c>
      <c r="E45">
        <v>64882.14</v>
      </c>
      <c r="F45">
        <v>3642</v>
      </c>
      <c r="G45">
        <v>1.9E-2</v>
      </c>
      <c r="H45">
        <v>13</v>
      </c>
      <c r="I45">
        <v>87.8</v>
      </c>
      <c r="J45">
        <v>4.5199999999999996</v>
      </c>
      <c r="K45">
        <v>0</v>
      </c>
      <c r="L45">
        <v>4.2</v>
      </c>
      <c r="M45">
        <v>605178</v>
      </c>
      <c r="N45">
        <v>106958.74</v>
      </c>
    </row>
    <row r="46" spans="1:14">
      <c r="A46" t="s">
        <v>33</v>
      </c>
      <c r="B46" s="2">
        <v>45658</v>
      </c>
      <c r="C46" t="s">
        <v>27</v>
      </c>
      <c r="D46" t="s">
        <v>16</v>
      </c>
      <c r="E46">
        <v>138855.51</v>
      </c>
      <c r="F46">
        <v>5145</v>
      </c>
      <c r="G46">
        <v>0.06</v>
      </c>
      <c r="H46">
        <v>17</v>
      </c>
      <c r="I46">
        <v>88.2</v>
      </c>
      <c r="J46">
        <v>9.58</v>
      </c>
      <c r="K46">
        <v>0</v>
      </c>
      <c r="L46">
        <v>3.2</v>
      </c>
      <c r="M46">
        <v>595467.6</v>
      </c>
      <c r="N46">
        <v>104276.46</v>
      </c>
    </row>
    <row r="47" spans="1:14">
      <c r="A47" t="s">
        <v>33</v>
      </c>
      <c r="B47" s="2">
        <v>45689</v>
      </c>
      <c r="C47" t="s">
        <v>27</v>
      </c>
      <c r="D47" t="s">
        <v>16</v>
      </c>
      <c r="E47">
        <v>63630.21</v>
      </c>
      <c r="F47">
        <v>4460</v>
      </c>
      <c r="G47">
        <v>0.23499999999999999</v>
      </c>
      <c r="H47">
        <v>14</v>
      </c>
      <c r="I47">
        <v>98.6</v>
      </c>
      <c r="J47">
        <v>5.52</v>
      </c>
      <c r="K47">
        <v>0</v>
      </c>
      <c r="L47">
        <v>3.5</v>
      </c>
      <c r="M47">
        <v>599603.4</v>
      </c>
      <c r="N47">
        <v>112685.12</v>
      </c>
    </row>
    <row r="48" spans="1:14">
      <c r="A48" t="s">
        <v>33</v>
      </c>
      <c r="B48" s="2">
        <v>45717</v>
      </c>
      <c r="C48" t="s">
        <v>27</v>
      </c>
      <c r="D48" t="s">
        <v>16</v>
      </c>
      <c r="E48">
        <v>50043.65</v>
      </c>
      <c r="F48">
        <v>3804</v>
      </c>
      <c r="G48">
        <v>0.113</v>
      </c>
      <c r="H48">
        <v>11</v>
      </c>
      <c r="I48">
        <v>90.9</v>
      </c>
      <c r="J48">
        <v>2.7</v>
      </c>
      <c r="K48">
        <v>1</v>
      </c>
      <c r="L48">
        <v>3.2</v>
      </c>
      <c r="M48">
        <v>614800.09</v>
      </c>
      <c r="N48">
        <v>100044.2</v>
      </c>
    </row>
    <row r="49" spans="1:14">
      <c r="A49" t="s">
        <v>33</v>
      </c>
      <c r="B49" s="2">
        <v>45748</v>
      </c>
      <c r="C49" t="s">
        <v>27</v>
      </c>
      <c r="D49" t="s">
        <v>16</v>
      </c>
      <c r="E49">
        <v>42093.84</v>
      </c>
      <c r="F49">
        <v>4074</v>
      </c>
      <c r="G49">
        <v>0.155</v>
      </c>
      <c r="H49">
        <v>15</v>
      </c>
      <c r="I49">
        <v>88</v>
      </c>
      <c r="J49">
        <v>9.64</v>
      </c>
      <c r="K49">
        <v>0</v>
      </c>
      <c r="L49">
        <v>3.3</v>
      </c>
      <c r="M49">
        <v>585365.73</v>
      </c>
      <c r="N49">
        <v>81011.520000000004</v>
      </c>
    </row>
    <row r="50" spans="1:14">
      <c r="A50" t="s">
        <v>34</v>
      </c>
      <c r="B50" s="2">
        <v>45658</v>
      </c>
      <c r="C50" t="s">
        <v>20</v>
      </c>
      <c r="D50" t="s">
        <v>28</v>
      </c>
      <c r="E50">
        <v>46624.05</v>
      </c>
      <c r="F50">
        <v>5104</v>
      </c>
      <c r="G50">
        <v>0.109</v>
      </c>
      <c r="H50">
        <v>11</v>
      </c>
      <c r="I50">
        <v>97.3</v>
      </c>
      <c r="J50">
        <v>3.49</v>
      </c>
      <c r="K50">
        <v>1</v>
      </c>
      <c r="L50">
        <v>4.7</v>
      </c>
      <c r="M50">
        <v>622811.74</v>
      </c>
      <c r="N50">
        <v>109978.35</v>
      </c>
    </row>
    <row r="51" spans="1:14">
      <c r="A51" t="s">
        <v>34</v>
      </c>
      <c r="B51" s="2">
        <v>45689</v>
      </c>
      <c r="C51" t="s">
        <v>20</v>
      </c>
      <c r="D51" t="s">
        <v>28</v>
      </c>
      <c r="E51">
        <v>49710.29</v>
      </c>
      <c r="F51">
        <v>5559</v>
      </c>
      <c r="G51">
        <v>0.218</v>
      </c>
      <c r="H51">
        <v>14</v>
      </c>
      <c r="I51">
        <v>71</v>
      </c>
      <c r="J51">
        <v>9.11</v>
      </c>
      <c r="K51">
        <v>0</v>
      </c>
      <c r="L51">
        <v>4.5999999999999996</v>
      </c>
      <c r="M51">
        <v>603297.56999999995</v>
      </c>
      <c r="N51">
        <v>60592.26</v>
      </c>
    </row>
    <row r="52" spans="1:14">
      <c r="A52" t="s">
        <v>34</v>
      </c>
      <c r="B52" s="2">
        <v>45717</v>
      </c>
      <c r="C52" t="s">
        <v>20</v>
      </c>
      <c r="D52" t="s">
        <v>28</v>
      </c>
      <c r="E52">
        <v>48287.85</v>
      </c>
      <c r="F52">
        <v>5150</v>
      </c>
      <c r="G52">
        <v>8.0000000000000002E-3</v>
      </c>
      <c r="H52">
        <v>12</v>
      </c>
      <c r="I52">
        <v>80.400000000000006</v>
      </c>
      <c r="J52">
        <v>7.4</v>
      </c>
      <c r="K52">
        <v>0</v>
      </c>
      <c r="L52">
        <v>4.5</v>
      </c>
      <c r="M52">
        <v>625672.86</v>
      </c>
      <c r="N52">
        <v>118020.12</v>
      </c>
    </row>
    <row r="53" spans="1:14">
      <c r="A53" t="s">
        <v>34</v>
      </c>
      <c r="B53" s="2">
        <v>45748</v>
      </c>
      <c r="C53" t="s">
        <v>20</v>
      </c>
      <c r="D53" t="s">
        <v>28</v>
      </c>
      <c r="E53">
        <v>65312.49</v>
      </c>
      <c r="F53">
        <v>7189</v>
      </c>
      <c r="G53">
        <v>0.05</v>
      </c>
      <c r="H53">
        <v>19</v>
      </c>
      <c r="I53">
        <v>93.7</v>
      </c>
      <c r="J53">
        <v>7.16</v>
      </c>
      <c r="K53">
        <v>0</v>
      </c>
      <c r="L53">
        <v>4.5999999999999996</v>
      </c>
      <c r="M53">
        <v>773815.14</v>
      </c>
      <c r="N53">
        <v>133948.39000000001</v>
      </c>
    </row>
    <row r="54" spans="1:14">
      <c r="A54" t="s">
        <v>35</v>
      </c>
      <c r="B54" s="2">
        <v>45658</v>
      </c>
      <c r="C54" t="s">
        <v>27</v>
      </c>
      <c r="D54" t="s">
        <v>18</v>
      </c>
      <c r="E54">
        <v>53015.46</v>
      </c>
      <c r="F54">
        <v>3279</v>
      </c>
      <c r="G54">
        <v>8.6999999999999994E-2</v>
      </c>
      <c r="H54">
        <v>9</v>
      </c>
      <c r="I54">
        <v>84.3</v>
      </c>
      <c r="J54">
        <v>22.02</v>
      </c>
      <c r="K54">
        <v>0</v>
      </c>
      <c r="L54">
        <v>3.9</v>
      </c>
      <c r="M54">
        <v>463534.25</v>
      </c>
      <c r="N54">
        <v>81834.539999999994</v>
      </c>
    </row>
    <row r="55" spans="1:14">
      <c r="A55" t="s">
        <v>35</v>
      </c>
      <c r="B55" s="2">
        <v>45689</v>
      </c>
      <c r="C55" t="s">
        <v>27</v>
      </c>
      <c r="D55" t="s">
        <v>18</v>
      </c>
      <c r="E55">
        <v>99874.01</v>
      </c>
      <c r="F55">
        <v>5887</v>
      </c>
      <c r="G55">
        <v>0.26200000000000001</v>
      </c>
      <c r="H55">
        <v>14</v>
      </c>
      <c r="I55">
        <v>88.7</v>
      </c>
      <c r="J55">
        <v>6.18</v>
      </c>
      <c r="K55">
        <v>0</v>
      </c>
      <c r="L55">
        <v>4.7</v>
      </c>
      <c r="M55">
        <v>746677.75</v>
      </c>
      <c r="N55">
        <v>122437.84</v>
      </c>
    </row>
    <row r="56" spans="1:14">
      <c r="A56" t="s">
        <v>35</v>
      </c>
      <c r="B56" s="2">
        <v>45717</v>
      </c>
      <c r="C56" t="s">
        <v>27</v>
      </c>
      <c r="D56" t="s">
        <v>18</v>
      </c>
      <c r="E56">
        <v>81195.5</v>
      </c>
      <c r="F56">
        <v>5516</v>
      </c>
      <c r="G56">
        <v>0.106</v>
      </c>
      <c r="H56">
        <v>14</v>
      </c>
      <c r="I56">
        <v>88</v>
      </c>
      <c r="J56">
        <v>1.76</v>
      </c>
      <c r="K56">
        <v>0</v>
      </c>
      <c r="L56">
        <v>4.3</v>
      </c>
      <c r="M56">
        <v>720852.5</v>
      </c>
      <c r="N56">
        <v>98565.62</v>
      </c>
    </row>
    <row r="57" spans="1:14">
      <c r="A57" t="s">
        <v>35</v>
      </c>
      <c r="B57" s="2">
        <v>45748</v>
      </c>
      <c r="C57" t="s">
        <v>27</v>
      </c>
      <c r="D57" t="s">
        <v>18</v>
      </c>
      <c r="E57">
        <v>27808.6</v>
      </c>
      <c r="F57">
        <v>2863</v>
      </c>
      <c r="G57">
        <v>0.08</v>
      </c>
      <c r="H57">
        <v>13</v>
      </c>
      <c r="I57">
        <v>89.3</v>
      </c>
      <c r="J57">
        <v>0.47</v>
      </c>
      <c r="K57">
        <v>0</v>
      </c>
      <c r="L57">
        <v>4.0999999999999996</v>
      </c>
      <c r="M57">
        <v>487464.91</v>
      </c>
      <c r="N57">
        <v>64562.26</v>
      </c>
    </row>
    <row r="58" spans="1:14">
      <c r="A58" t="s">
        <v>36</v>
      </c>
      <c r="B58" s="2">
        <v>45658</v>
      </c>
      <c r="C58" t="s">
        <v>15</v>
      </c>
      <c r="D58" t="s">
        <v>21</v>
      </c>
      <c r="E58">
        <v>19365.060000000001</v>
      </c>
      <c r="F58">
        <v>2378</v>
      </c>
      <c r="G58">
        <v>0</v>
      </c>
      <c r="H58">
        <v>12</v>
      </c>
      <c r="I58">
        <v>94.8</v>
      </c>
      <c r="J58">
        <v>0.2</v>
      </c>
      <c r="K58">
        <v>0</v>
      </c>
      <c r="L58">
        <v>3.5</v>
      </c>
      <c r="M58">
        <v>518049.26</v>
      </c>
      <c r="N58">
        <v>108592.49</v>
      </c>
    </row>
    <row r="59" spans="1:14">
      <c r="A59" t="s">
        <v>36</v>
      </c>
      <c r="B59" s="2">
        <v>45689</v>
      </c>
      <c r="C59" t="s">
        <v>15</v>
      </c>
      <c r="D59" t="s">
        <v>21</v>
      </c>
      <c r="E59">
        <v>59405.68</v>
      </c>
      <c r="F59">
        <v>2515</v>
      </c>
      <c r="G59">
        <v>3.9E-2</v>
      </c>
      <c r="H59">
        <v>12</v>
      </c>
      <c r="I59">
        <v>76</v>
      </c>
      <c r="J59">
        <v>5.1100000000000003</v>
      </c>
      <c r="K59">
        <v>0</v>
      </c>
      <c r="L59">
        <v>3.7</v>
      </c>
      <c r="M59">
        <v>500298.48</v>
      </c>
      <c r="N59">
        <v>73461.320000000007</v>
      </c>
    </row>
    <row r="60" spans="1:14">
      <c r="A60" t="s">
        <v>36</v>
      </c>
      <c r="B60" s="2">
        <v>45717</v>
      </c>
      <c r="C60" t="s">
        <v>15</v>
      </c>
      <c r="D60" t="s">
        <v>21</v>
      </c>
      <c r="E60">
        <v>118910.48</v>
      </c>
      <c r="F60">
        <v>4022</v>
      </c>
      <c r="G60">
        <v>0.13700000000000001</v>
      </c>
      <c r="H60">
        <v>11</v>
      </c>
      <c r="I60">
        <v>87.1</v>
      </c>
      <c r="J60">
        <v>0.2</v>
      </c>
      <c r="K60">
        <v>0</v>
      </c>
      <c r="L60">
        <v>3.1</v>
      </c>
      <c r="M60">
        <v>617291.15</v>
      </c>
      <c r="N60">
        <v>117782</v>
      </c>
    </row>
    <row r="61" spans="1:14">
      <c r="A61" t="s">
        <v>36</v>
      </c>
      <c r="B61" s="2">
        <v>45748</v>
      </c>
      <c r="C61" t="s">
        <v>15</v>
      </c>
      <c r="D61" t="s">
        <v>21</v>
      </c>
      <c r="E61">
        <v>52952.12</v>
      </c>
      <c r="F61">
        <v>4377</v>
      </c>
      <c r="G61">
        <v>9.1999999999999998E-2</v>
      </c>
      <c r="H61">
        <v>14</v>
      </c>
      <c r="I61">
        <v>88.6</v>
      </c>
      <c r="J61">
        <v>13.59</v>
      </c>
      <c r="K61">
        <v>0</v>
      </c>
      <c r="L61">
        <v>3.1</v>
      </c>
      <c r="M61">
        <v>553756.43000000005</v>
      </c>
      <c r="N61">
        <v>86166.77</v>
      </c>
    </row>
    <row r="62" spans="1:14">
      <c r="A62" t="s">
        <v>37</v>
      </c>
      <c r="B62" s="2">
        <v>45658</v>
      </c>
      <c r="C62" t="s">
        <v>24</v>
      </c>
      <c r="D62" t="s">
        <v>18</v>
      </c>
      <c r="E62">
        <v>74907.98</v>
      </c>
      <c r="F62">
        <v>5306</v>
      </c>
      <c r="G62">
        <v>6.2E-2</v>
      </c>
      <c r="H62">
        <v>16</v>
      </c>
      <c r="I62">
        <v>95.6</v>
      </c>
      <c r="J62">
        <v>1.02</v>
      </c>
      <c r="K62">
        <v>0</v>
      </c>
      <c r="L62">
        <v>3.7</v>
      </c>
      <c r="M62">
        <v>749559.71</v>
      </c>
      <c r="N62">
        <v>144522.53</v>
      </c>
    </row>
    <row r="63" spans="1:14">
      <c r="A63" t="s">
        <v>37</v>
      </c>
      <c r="B63" s="2">
        <v>45689</v>
      </c>
      <c r="C63" t="s">
        <v>24</v>
      </c>
      <c r="D63" t="s">
        <v>18</v>
      </c>
      <c r="E63">
        <v>37284.660000000003</v>
      </c>
      <c r="F63">
        <v>3928</v>
      </c>
      <c r="G63">
        <v>7.3999999999999996E-2</v>
      </c>
      <c r="H63">
        <v>12</v>
      </c>
      <c r="I63">
        <v>86.5</v>
      </c>
      <c r="J63">
        <v>1.64</v>
      </c>
      <c r="K63">
        <v>0</v>
      </c>
      <c r="L63">
        <v>3.8</v>
      </c>
      <c r="M63">
        <v>615966.48</v>
      </c>
      <c r="N63">
        <v>91509.38</v>
      </c>
    </row>
    <row r="64" spans="1:14">
      <c r="A64" t="s">
        <v>37</v>
      </c>
      <c r="B64" s="2">
        <v>45717</v>
      </c>
      <c r="C64" t="s">
        <v>24</v>
      </c>
      <c r="D64" t="s">
        <v>18</v>
      </c>
      <c r="E64">
        <v>50343.19</v>
      </c>
      <c r="F64">
        <v>3845</v>
      </c>
      <c r="G64">
        <v>0.113</v>
      </c>
      <c r="H64">
        <v>9</v>
      </c>
      <c r="I64">
        <v>88.7</v>
      </c>
      <c r="J64">
        <v>5.15</v>
      </c>
      <c r="K64">
        <v>0</v>
      </c>
      <c r="L64">
        <v>3.3</v>
      </c>
      <c r="M64">
        <v>572011.19999999995</v>
      </c>
      <c r="N64">
        <v>101409.68</v>
      </c>
    </row>
    <row r="65" spans="1:14">
      <c r="A65" t="s">
        <v>37</v>
      </c>
      <c r="B65" s="2">
        <v>45748</v>
      </c>
      <c r="C65" t="s">
        <v>24</v>
      </c>
      <c r="D65" t="s">
        <v>18</v>
      </c>
      <c r="E65">
        <v>74954.47</v>
      </c>
      <c r="F65">
        <v>6620</v>
      </c>
      <c r="G65">
        <v>5.3999999999999999E-2</v>
      </c>
      <c r="H65">
        <v>17</v>
      </c>
      <c r="I65">
        <v>91.1</v>
      </c>
      <c r="J65">
        <v>1.1100000000000001</v>
      </c>
      <c r="K65">
        <v>0</v>
      </c>
      <c r="L65">
        <v>3.5</v>
      </c>
      <c r="M65">
        <v>761860.19</v>
      </c>
      <c r="N65">
        <v>133279.38</v>
      </c>
    </row>
    <row r="66" spans="1:14">
      <c r="A66" t="s">
        <v>38</v>
      </c>
      <c r="B66" s="2">
        <v>45658</v>
      </c>
      <c r="C66" t="s">
        <v>27</v>
      </c>
      <c r="D66" t="s">
        <v>18</v>
      </c>
      <c r="E66">
        <v>70040.31</v>
      </c>
      <c r="F66">
        <v>9175</v>
      </c>
      <c r="G66">
        <v>0.107</v>
      </c>
      <c r="H66">
        <v>23</v>
      </c>
      <c r="I66">
        <v>95.1</v>
      </c>
      <c r="J66">
        <v>6.08</v>
      </c>
      <c r="K66">
        <v>1</v>
      </c>
      <c r="L66">
        <v>3.4</v>
      </c>
      <c r="M66">
        <v>784502.68</v>
      </c>
      <c r="N66">
        <v>129519.72</v>
      </c>
    </row>
    <row r="67" spans="1:14">
      <c r="A67" t="s">
        <v>38</v>
      </c>
      <c r="B67" s="2">
        <v>45689</v>
      </c>
      <c r="C67" t="s">
        <v>27</v>
      </c>
      <c r="D67" t="s">
        <v>18</v>
      </c>
      <c r="E67">
        <v>51148.69</v>
      </c>
      <c r="F67">
        <v>7940</v>
      </c>
      <c r="G67">
        <v>0.156</v>
      </c>
      <c r="H67">
        <v>18</v>
      </c>
      <c r="I67">
        <v>93.3</v>
      </c>
      <c r="J67">
        <v>10.91</v>
      </c>
      <c r="K67">
        <v>0</v>
      </c>
      <c r="L67">
        <v>3.6</v>
      </c>
      <c r="M67">
        <v>717141.55</v>
      </c>
      <c r="N67">
        <v>134013.60999999999</v>
      </c>
    </row>
    <row r="68" spans="1:14">
      <c r="A68" t="s">
        <v>38</v>
      </c>
      <c r="B68" s="2">
        <v>45717</v>
      </c>
      <c r="C68" t="s">
        <v>27</v>
      </c>
      <c r="D68" t="s">
        <v>18</v>
      </c>
      <c r="E68">
        <v>79346.100000000006</v>
      </c>
      <c r="F68">
        <v>9628</v>
      </c>
      <c r="G68">
        <v>0.10199999999999999</v>
      </c>
      <c r="H68">
        <v>20</v>
      </c>
      <c r="I68">
        <v>99</v>
      </c>
      <c r="J68">
        <v>19.010000000000002</v>
      </c>
      <c r="K68">
        <v>1</v>
      </c>
      <c r="L68">
        <v>3.2</v>
      </c>
      <c r="M68">
        <v>685379.08</v>
      </c>
      <c r="N68">
        <v>106898.82</v>
      </c>
    </row>
    <row r="69" spans="1:14">
      <c r="A69" t="s">
        <v>38</v>
      </c>
      <c r="B69" s="2">
        <v>45748</v>
      </c>
      <c r="C69" t="s">
        <v>27</v>
      </c>
      <c r="D69" t="s">
        <v>18</v>
      </c>
      <c r="E69">
        <v>42018.400000000001</v>
      </c>
      <c r="F69">
        <v>8296</v>
      </c>
      <c r="G69">
        <v>0.115</v>
      </c>
      <c r="H69">
        <v>17</v>
      </c>
      <c r="I69">
        <v>91.8</v>
      </c>
      <c r="J69">
        <v>0.77</v>
      </c>
      <c r="K69">
        <v>0</v>
      </c>
      <c r="L69">
        <v>3.4</v>
      </c>
      <c r="M69">
        <v>740496.65</v>
      </c>
      <c r="N69">
        <v>128020.9</v>
      </c>
    </row>
    <row r="70" spans="1:14">
      <c r="A70" t="s">
        <v>39</v>
      </c>
      <c r="B70" s="2">
        <v>45658</v>
      </c>
      <c r="C70" t="s">
        <v>15</v>
      </c>
      <c r="D70" t="s">
        <v>18</v>
      </c>
      <c r="E70">
        <v>70937.240000000005</v>
      </c>
      <c r="F70">
        <v>3595</v>
      </c>
      <c r="G70">
        <v>0.14099999999999999</v>
      </c>
      <c r="H70">
        <v>11</v>
      </c>
      <c r="I70">
        <v>88.9</v>
      </c>
      <c r="J70">
        <v>2.83</v>
      </c>
      <c r="K70">
        <v>1</v>
      </c>
      <c r="L70">
        <v>3.3</v>
      </c>
      <c r="M70">
        <v>661927.14</v>
      </c>
      <c r="N70">
        <v>79218.570000000007</v>
      </c>
    </row>
    <row r="71" spans="1:14">
      <c r="A71" t="s">
        <v>39</v>
      </c>
      <c r="B71" s="2">
        <v>45689</v>
      </c>
      <c r="C71" t="s">
        <v>15</v>
      </c>
      <c r="D71" t="s">
        <v>18</v>
      </c>
      <c r="E71">
        <v>36813.449999999997</v>
      </c>
      <c r="F71">
        <v>2834</v>
      </c>
      <c r="G71">
        <v>0.191</v>
      </c>
      <c r="H71">
        <v>11</v>
      </c>
      <c r="I71">
        <v>81.8</v>
      </c>
      <c r="J71">
        <v>2.33</v>
      </c>
      <c r="K71">
        <v>0</v>
      </c>
      <c r="L71">
        <v>3.3</v>
      </c>
      <c r="M71">
        <v>479050.5</v>
      </c>
      <c r="N71">
        <v>53651.11</v>
      </c>
    </row>
    <row r="72" spans="1:14">
      <c r="A72" t="s">
        <v>39</v>
      </c>
      <c r="B72" s="2">
        <v>45717</v>
      </c>
      <c r="C72" t="s">
        <v>15</v>
      </c>
      <c r="D72" t="s">
        <v>18</v>
      </c>
      <c r="E72">
        <v>60571.82</v>
      </c>
      <c r="F72">
        <v>3193</v>
      </c>
      <c r="G72">
        <v>0.19700000000000001</v>
      </c>
      <c r="H72">
        <v>7</v>
      </c>
      <c r="I72">
        <v>99</v>
      </c>
      <c r="J72">
        <v>1.43</v>
      </c>
      <c r="K72">
        <v>0</v>
      </c>
      <c r="L72">
        <v>3.2</v>
      </c>
      <c r="M72">
        <v>605023.87</v>
      </c>
      <c r="N72">
        <v>98545.81</v>
      </c>
    </row>
    <row r="73" spans="1:14">
      <c r="A73" t="s">
        <v>39</v>
      </c>
      <c r="B73" s="2">
        <v>45748</v>
      </c>
      <c r="C73" t="s">
        <v>15</v>
      </c>
      <c r="D73" t="s">
        <v>18</v>
      </c>
      <c r="E73">
        <v>55081.16</v>
      </c>
      <c r="F73">
        <v>5485</v>
      </c>
      <c r="G73">
        <v>3.5999999999999997E-2</v>
      </c>
      <c r="H73">
        <v>12</v>
      </c>
      <c r="I73">
        <v>88</v>
      </c>
      <c r="J73">
        <v>4.5590445859872597</v>
      </c>
      <c r="K73">
        <v>0</v>
      </c>
      <c r="L73">
        <v>3.5</v>
      </c>
      <c r="M73">
        <v>674774.09</v>
      </c>
      <c r="N73">
        <v>141917.59</v>
      </c>
    </row>
    <row r="74" spans="1:14">
      <c r="A74" t="s">
        <v>40</v>
      </c>
      <c r="B74" s="2">
        <v>45658</v>
      </c>
      <c r="C74" t="s">
        <v>15</v>
      </c>
      <c r="D74" t="s">
        <v>16</v>
      </c>
      <c r="E74">
        <v>46201.46</v>
      </c>
      <c r="F74">
        <v>5918</v>
      </c>
      <c r="G74">
        <v>0.27700000000000002</v>
      </c>
      <c r="H74">
        <v>13</v>
      </c>
      <c r="I74">
        <v>78.8</v>
      </c>
      <c r="J74">
        <v>4.91</v>
      </c>
      <c r="K74">
        <v>0</v>
      </c>
      <c r="L74">
        <v>4.5</v>
      </c>
      <c r="M74">
        <v>616069.41</v>
      </c>
      <c r="N74">
        <v>54453.99</v>
      </c>
    </row>
    <row r="75" spans="1:14">
      <c r="A75" t="s">
        <v>40</v>
      </c>
      <c r="B75" s="2">
        <v>45689</v>
      </c>
      <c r="C75" t="s">
        <v>15</v>
      </c>
      <c r="D75" t="s">
        <v>16</v>
      </c>
      <c r="E75">
        <v>53762.92</v>
      </c>
      <c r="F75">
        <v>6821</v>
      </c>
      <c r="G75">
        <v>6.6000000000000003E-2</v>
      </c>
      <c r="H75">
        <v>19</v>
      </c>
      <c r="I75">
        <v>94.6</v>
      </c>
      <c r="J75">
        <v>7.03</v>
      </c>
      <c r="K75">
        <v>0</v>
      </c>
      <c r="L75">
        <v>4.4000000000000004</v>
      </c>
      <c r="M75">
        <v>630829.93999999994</v>
      </c>
      <c r="N75">
        <v>117090.02</v>
      </c>
    </row>
    <row r="76" spans="1:14">
      <c r="A76" t="s">
        <v>40</v>
      </c>
      <c r="B76" s="2">
        <v>45717</v>
      </c>
      <c r="C76" t="s">
        <v>15</v>
      </c>
      <c r="D76" t="s">
        <v>16</v>
      </c>
      <c r="E76">
        <v>70144.78</v>
      </c>
      <c r="F76">
        <v>6806</v>
      </c>
      <c r="G76">
        <v>0.17799999999999999</v>
      </c>
      <c r="H76">
        <v>20</v>
      </c>
      <c r="I76">
        <v>93.1</v>
      </c>
      <c r="J76">
        <v>0.28000000000000003</v>
      </c>
      <c r="K76">
        <v>1</v>
      </c>
      <c r="L76">
        <v>4.3</v>
      </c>
      <c r="M76">
        <v>788087.68</v>
      </c>
      <c r="N76">
        <v>116803.42</v>
      </c>
    </row>
    <row r="77" spans="1:14">
      <c r="A77" t="s">
        <v>40</v>
      </c>
      <c r="B77" s="2">
        <v>45748</v>
      </c>
      <c r="C77" t="s">
        <v>15</v>
      </c>
      <c r="D77" t="s">
        <v>16</v>
      </c>
      <c r="E77">
        <v>58749.63</v>
      </c>
      <c r="F77">
        <v>8252</v>
      </c>
      <c r="G77">
        <v>0.20300000000000001</v>
      </c>
      <c r="H77">
        <v>20</v>
      </c>
      <c r="I77">
        <v>85.2</v>
      </c>
      <c r="J77">
        <v>3.61</v>
      </c>
      <c r="K77">
        <v>0</v>
      </c>
      <c r="L77">
        <v>4.5</v>
      </c>
      <c r="M77">
        <v>680840.36</v>
      </c>
      <c r="N77">
        <v>68007.679999999993</v>
      </c>
    </row>
    <row r="78" spans="1:14">
      <c r="A78" t="s">
        <v>41</v>
      </c>
      <c r="B78" s="2">
        <v>45658</v>
      </c>
      <c r="C78" t="s">
        <v>24</v>
      </c>
      <c r="D78" t="s">
        <v>18</v>
      </c>
      <c r="E78">
        <v>56973.18</v>
      </c>
      <c r="F78">
        <v>6662</v>
      </c>
      <c r="G78">
        <v>0.1</v>
      </c>
      <c r="H78">
        <v>15</v>
      </c>
      <c r="I78">
        <v>77.7</v>
      </c>
      <c r="J78">
        <v>7.52</v>
      </c>
      <c r="K78">
        <v>1</v>
      </c>
      <c r="L78">
        <v>3.2</v>
      </c>
      <c r="M78">
        <v>643657.47</v>
      </c>
      <c r="N78">
        <v>87022.45</v>
      </c>
    </row>
    <row r="79" spans="1:14">
      <c r="A79" t="s">
        <v>41</v>
      </c>
      <c r="B79" s="2">
        <v>45689</v>
      </c>
      <c r="C79" t="s">
        <v>24</v>
      </c>
      <c r="D79" t="s">
        <v>18</v>
      </c>
      <c r="E79">
        <v>54872.82</v>
      </c>
      <c r="F79">
        <v>5962</v>
      </c>
      <c r="G79">
        <v>6.4000000000000001E-2</v>
      </c>
      <c r="H79">
        <v>12</v>
      </c>
      <c r="I79">
        <v>85.4</v>
      </c>
      <c r="J79">
        <v>2.58</v>
      </c>
      <c r="K79">
        <v>0</v>
      </c>
      <c r="L79">
        <v>2.9</v>
      </c>
      <c r="M79">
        <v>691112.6</v>
      </c>
      <c r="N79">
        <v>109212.83</v>
      </c>
    </row>
    <row r="80" spans="1:14">
      <c r="A80" t="s">
        <v>41</v>
      </c>
      <c r="B80" s="2">
        <v>45717</v>
      </c>
      <c r="C80" t="s">
        <v>24</v>
      </c>
      <c r="D80" t="s">
        <v>18</v>
      </c>
      <c r="E80">
        <v>80562.81</v>
      </c>
      <c r="F80">
        <v>7470</v>
      </c>
      <c r="G80">
        <v>0.17199999999999999</v>
      </c>
      <c r="H80">
        <v>16</v>
      </c>
      <c r="I80">
        <v>83.5</v>
      </c>
      <c r="J80">
        <v>2.29</v>
      </c>
      <c r="K80">
        <v>0</v>
      </c>
      <c r="L80">
        <v>3.3</v>
      </c>
      <c r="M80">
        <v>776922.17</v>
      </c>
      <c r="N80">
        <v>150701.93</v>
      </c>
    </row>
    <row r="81" spans="1:14">
      <c r="A81" t="s">
        <v>41</v>
      </c>
      <c r="B81" s="2">
        <v>45748</v>
      </c>
      <c r="C81" t="s">
        <v>24</v>
      </c>
      <c r="D81" t="s">
        <v>18</v>
      </c>
      <c r="E81">
        <v>77999.899999999994</v>
      </c>
      <c r="F81">
        <v>5974</v>
      </c>
      <c r="G81">
        <v>0.252</v>
      </c>
      <c r="H81">
        <v>14</v>
      </c>
      <c r="I81">
        <v>81.3</v>
      </c>
      <c r="J81">
        <v>2.39</v>
      </c>
      <c r="K81">
        <v>0</v>
      </c>
      <c r="L81">
        <v>3.2</v>
      </c>
      <c r="M81">
        <v>636561.34</v>
      </c>
      <c r="N81">
        <v>93861.06</v>
      </c>
    </row>
    <row r="82" spans="1:14">
      <c r="A82" t="s">
        <v>42</v>
      </c>
      <c r="B82" s="2">
        <v>45658</v>
      </c>
      <c r="C82" t="s">
        <v>27</v>
      </c>
      <c r="D82" t="s">
        <v>28</v>
      </c>
      <c r="E82">
        <v>60881.01</v>
      </c>
      <c r="F82">
        <v>5410</v>
      </c>
      <c r="G82">
        <v>0.17899999999999999</v>
      </c>
      <c r="H82">
        <v>15</v>
      </c>
      <c r="I82">
        <v>83.9</v>
      </c>
      <c r="J82">
        <v>5.24</v>
      </c>
      <c r="K82">
        <v>0</v>
      </c>
      <c r="L82">
        <v>4.5999999999999996</v>
      </c>
      <c r="M82">
        <v>621369.57999999996</v>
      </c>
      <c r="N82">
        <v>85493.64</v>
      </c>
    </row>
    <row r="83" spans="1:14">
      <c r="A83" t="s">
        <v>42</v>
      </c>
      <c r="B83" s="2">
        <v>45689</v>
      </c>
      <c r="C83" t="s">
        <v>27</v>
      </c>
      <c r="D83" t="s">
        <v>28</v>
      </c>
      <c r="E83">
        <v>60628.38</v>
      </c>
      <c r="F83">
        <v>4451</v>
      </c>
      <c r="G83">
        <v>9.5000000000000001E-2</v>
      </c>
      <c r="H83">
        <v>10</v>
      </c>
      <c r="I83">
        <v>89.6</v>
      </c>
      <c r="J83">
        <v>3.17</v>
      </c>
      <c r="K83">
        <v>0</v>
      </c>
      <c r="L83">
        <v>4.5999999999999996</v>
      </c>
      <c r="M83">
        <v>682208.01</v>
      </c>
      <c r="N83">
        <v>110318.84</v>
      </c>
    </row>
    <row r="84" spans="1:14">
      <c r="A84" t="s">
        <v>42</v>
      </c>
      <c r="B84" s="2">
        <v>45717</v>
      </c>
      <c r="C84" t="s">
        <v>27</v>
      </c>
      <c r="D84" t="s">
        <v>28</v>
      </c>
      <c r="E84">
        <v>72731.14</v>
      </c>
      <c r="F84">
        <v>4644</v>
      </c>
      <c r="G84">
        <v>8.4000000000000005E-2</v>
      </c>
      <c r="H84">
        <v>15</v>
      </c>
      <c r="I84">
        <v>87.1</v>
      </c>
      <c r="J84">
        <v>2.66</v>
      </c>
      <c r="K84">
        <v>0</v>
      </c>
      <c r="L84">
        <v>4.5999999999999996</v>
      </c>
      <c r="M84">
        <v>727241.86</v>
      </c>
      <c r="N84">
        <v>155810.29999999999</v>
      </c>
    </row>
    <row r="85" spans="1:14">
      <c r="A85" t="s">
        <v>42</v>
      </c>
      <c r="B85" s="2">
        <v>45748</v>
      </c>
      <c r="C85" t="s">
        <v>27</v>
      </c>
      <c r="D85" t="s">
        <v>28</v>
      </c>
      <c r="E85">
        <v>36475.71</v>
      </c>
      <c r="F85">
        <v>3559</v>
      </c>
      <c r="G85">
        <v>0.03</v>
      </c>
      <c r="H85">
        <v>8</v>
      </c>
      <c r="I85">
        <v>83.6</v>
      </c>
      <c r="J85">
        <v>1.41</v>
      </c>
      <c r="K85">
        <v>0</v>
      </c>
      <c r="L85">
        <v>4.2</v>
      </c>
      <c r="M85">
        <v>569100.78</v>
      </c>
      <c r="N85">
        <v>104808.78</v>
      </c>
    </row>
    <row r="86" spans="1:14">
      <c r="A86" t="s">
        <v>43</v>
      </c>
      <c r="B86" s="2">
        <v>45658</v>
      </c>
      <c r="C86" t="s">
        <v>27</v>
      </c>
      <c r="D86" t="s">
        <v>18</v>
      </c>
      <c r="E86">
        <v>55388.11</v>
      </c>
      <c r="F86">
        <v>3091</v>
      </c>
      <c r="G86">
        <v>0.108</v>
      </c>
      <c r="H86">
        <v>7</v>
      </c>
      <c r="I86">
        <v>85.4</v>
      </c>
      <c r="J86">
        <v>7.34</v>
      </c>
      <c r="K86">
        <v>0</v>
      </c>
      <c r="L86">
        <v>4.9000000000000004</v>
      </c>
      <c r="M86">
        <v>574436.29</v>
      </c>
      <c r="N86">
        <v>80271.990000000005</v>
      </c>
    </row>
    <row r="87" spans="1:14">
      <c r="A87" t="s">
        <v>43</v>
      </c>
      <c r="B87" s="2">
        <v>45689</v>
      </c>
      <c r="C87" t="s">
        <v>27</v>
      </c>
      <c r="D87" t="s">
        <v>18</v>
      </c>
      <c r="E87">
        <v>88443.77</v>
      </c>
      <c r="F87">
        <v>4004</v>
      </c>
      <c r="G87">
        <v>0.20599999999999999</v>
      </c>
      <c r="H87">
        <v>11</v>
      </c>
      <c r="I87">
        <v>91.9</v>
      </c>
      <c r="J87">
        <v>5.95</v>
      </c>
      <c r="K87">
        <v>0</v>
      </c>
      <c r="L87">
        <v>3.9246794871794877</v>
      </c>
      <c r="M87">
        <v>611766.72</v>
      </c>
      <c r="N87">
        <v>88275.61</v>
      </c>
    </row>
    <row r="88" spans="1:14">
      <c r="A88" t="s">
        <v>43</v>
      </c>
      <c r="B88" s="2">
        <v>45717</v>
      </c>
      <c r="C88" t="s">
        <v>27</v>
      </c>
      <c r="D88" t="s">
        <v>18</v>
      </c>
      <c r="E88">
        <v>78231.91</v>
      </c>
      <c r="F88">
        <v>3788</v>
      </c>
      <c r="G88">
        <v>5.8999999999999997E-2</v>
      </c>
      <c r="H88">
        <v>11</v>
      </c>
      <c r="I88">
        <v>88.5</v>
      </c>
      <c r="J88">
        <v>15.51</v>
      </c>
      <c r="K88">
        <v>0</v>
      </c>
      <c r="L88">
        <v>4.3</v>
      </c>
      <c r="M88">
        <v>614596.31999999995</v>
      </c>
      <c r="N88">
        <v>131199.41</v>
      </c>
    </row>
    <row r="89" spans="1:14">
      <c r="A89" t="s">
        <v>43</v>
      </c>
      <c r="B89" s="2">
        <v>45748</v>
      </c>
      <c r="C89" t="s">
        <v>27</v>
      </c>
      <c r="D89" t="s">
        <v>18</v>
      </c>
      <c r="E89">
        <v>18996.32</v>
      </c>
      <c r="F89">
        <v>1260</v>
      </c>
      <c r="G89">
        <v>0.14499999999999999</v>
      </c>
      <c r="H89">
        <v>9</v>
      </c>
      <c r="I89">
        <v>86.4</v>
      </c>
      <c r="J89">
        <v>4.3099999999999996</v>
      </c>
      <c r="K89">
        <v>0</v>
      </c>
      <c r="L89">
        <v>4.5999999999999996</v>
      </c>
      <c r="M89">
        <v>450711.92</v>
      </c>
      <c r="N89">
        <v>90043.76</v>
      </c>
    </row>
    <row r="90" spans="1:14">
      <c r="A90" t="s">
        <v>44</v>
      </c>
      <c r="B90" s="2">
        <v>45658</v>
      </c>
      <c r="C90" t="s">
        <v>24</v>
      </c>
      <c r="D90" t="s">
        <v>28</v>
      </c>
      <c r="E90">
        <v>50517.94</v>
      </c>
      <c r="F90">
        <v>7024</v>
      </c>
      <c r="G90">
        <v>2.9000000000000001E-2</v>
      </c>
      <c r="H90">
        <v>18</v>
      </c>
      <c r="I90">
        <v>79.2</v>
      </c>
      <c r="J90">
        <v>6.61</v>
      </c>
      <c r="K90">
        <v>1</v>
      </c>
      <c r="L90">
        <v>4.0999999999999996</v>
      </c>
      <c r="M90">
        <v>711213.46</v>
      </c>
      <c r="N90">
        <v>105863.26</v>
      </c>
    </row>
    <row r="91" spans="1:14">
      <c r="A91" t="s">
        <v>44</v>
      </c>
      <c r="B91" s="2">
        <v>45689</v>
      </c>
      <c r="C91" t="s">
        <v>24</v>
      </c>
      <c r="D91" t="s">
        <v>28</v>
      </c>
      <c r="E91">
        <v>141540.29</v>
      </c>
      <c r="F91">
        <v>5400</v>
      </c>
      <c r="G91">
        <v>1.2999999999999999E-2</v>
      </c>
      <c r="H91">
        <v>12</v>
      </c>
      <c r="I91">
        <v>87</v>
      </c>
      <c r="J91">
        <v>4.26</v>
      </c>
      <c r="K91">
        <v>0</v>
      </c>
      <c r="L91">
        <v>4.5</v>
      </c>
      <c r="M91">
        <v>627171.9</v>
      </c>
      <c r="N91">
        <v>105772.75</v>
      </c>
    </row>
    <row r="92" spans="1:14">
      <c r="A92" t="s">
        <v>44</v>
      </c>
      <c r="B92" s="2">
        <v>45717</v>
      </c>
      <c r="C92" t="s">
        <v>24</v>
      </c>
      <c r="D92" t="s">
        <v>28</v>
      </c>
      <c r="E92">
        <v>82116.19</v>
      </c>
      <c r="F92">
        <v>5988</v>
      </c>
      <c r="G92">
        <v>0.04</v>
      </c>
      <c r="H92">
        <v>17</v>
      </c>
      <c r="I92">
        <v>91.8</v>
      </c>
      <c r="J92">
        <v>5.75</v>
      </c>
      <c r="K92">
        <v>0</v>
      </c>
      <c r="L92">
        <v>4.7</v>
      </c>
      <c r="M92">
        <v>739852.58</v>
      </c>
      <c r="N92">
        <v>129386.43</v>
      </c>
    </row>
    <row r="93" spans="1:14">
      <c r="A93" t="s">
        <v>44</v>
      </c>
      <c r="B93" s="2">
        <v>45748</v>
      </c>
      <c r="C93" t="s">
        <v>24</v>
      </c>
      <c r="D93" t="s">
        <v>28</v>
      </c>
      <c r="E93">
        <v>31207.51</v>
      </c>
      <c r="F93">
        <v>3701</v>
      </c>
      <c r="G93">
        <v>4.2999999999999997E-2</v>
      </c>
      <c r="H93">
        <v>11</v>
      </c>
      <c r="I93">
        <v>84.7</v>
      </c>
      <c r="J93">
        <v>0.33</v>
      </c>
      <c r="K93">
        <v>0</v>
      </c>
      <c r="L93">
        <v>4.3</v>
      </c>
      <c r="M93">
        <v>586307.22</v>
      </c>
      <c r="N93">
        <v>73927.850000000006</v>
      </c>
    </row>
    <row r="94" spans="1:14">
      <c r="A94" t="s">
        <v>45</v>
      </c>
      <c r="B94" s="2">
        <v>45658</v>
      </c>
      <c r="C94" t="s">
        <v>27</v>
      </c>
      <c r="D94" t="s">
        <v>16</v>
      </c>
      <c r="E94">
        <v>38966.589999999997</v>
      </c>
      <c r="F94">
        <v>4509</v>
      </c>
      <c r="G94">
        <v>0.19400000000000001</v>
      </c>
      <c r="H94">
        <v>14</v>
      </c>
      <c r="I94">
        <v>91.1</v>
      </c>
      <c r="J94">
        <v>2.92</v>
      </c>
      <c r="K94">
        <v>0</v>
      </c>
      <c r="L94">
        <v>4.5999999999999996</v>
      </c>
      <c r="M94">
        <v>585937.48</v>
      </c>
      <c r="N94">
        <v>82624.2</v>
      </c>
    </row>
    <row r="95" spans="1:14">
      <c r="A95" t="s">
        <v>45</v>
      </c>
      <c r="B95" s="2">
        <v>45689</v>
      </c>
      <c r="C95" t="s">
        <v>27</v>
      </c>
      <c r="D95" t="s">
        <v>16</v>
      </c>
      <c r="E95">
        <v>67439.3</v>
      </c>
      <c r="F95">
        <v>6477</v>
      </c>
      <c r="G95">
        <v>0</v>
      </c>
      <c r="H95">
        <v>16</v>
      </c>
      <c r="I95">
        <v>90.9</v>
      </c>
      <c r="J95">
        <v>1.64</v>
      </c>
      <c r="K95">
        <v>0</v>
      </c>
      <c r="L95">
        <v>4.5</v>
      </c>
      <c r="M95">
        <v>753473.55</v>
      </c>
      <c r="N95">
        <v>151527.22</v>
      </c>
    </row>
    <row r="96" spans="1:14">
      <c r="A96" t="s">
        <v>45</v>
      </c>
      <c r="B96" s="2">
        <v>45717</v>
      </c>
      <c r="C96" t="s">
        <v>27</v>
      </c>
      <c r="D96" t="s">
        <v>16</v>
      </c>
      <c r="E96">
        <v>86421.88</v>
      </c>
      <c r="F96">
        <v>7970</v>
      </c>
      <c r="G96">
        <v>7.2999999999999995E-2</v>
      </c>
      <c r="H96">
        <v>17</v>
      </c>
      <c r="I96">
        <v>91.3</v>
      </c>
      <c r="J96">
        <v>0.8</v>
      </c>
      <c r="K96">
        <v>0</v>
      </c>
      <c r="L96">
        <v>5</v>
      </c>
      <c r="M96">
        <v>838250.32</v>
      </c>
      <c r="N96">
        <v>122939.34</v>
      </c>
    </row>
    <row r="97" spans="1:14">
      <c r="A97" t="s">
        <v>45</v>
      </c>
      <c r="B97" s="2">
        <v>45748</v>
      </c>
      <c r="C97" t="s">
        <v>27</v>
      </c>
      <c r="D97" t="s">
        <v>16</v>
      </c>
      <c r="E97">
        <v>9534.65</v>
      </c>
      <c r="F97">
        <v>6057</v>
      </c>
      <c r="G97">
        <v>7.3999999999999996E-2</v>
      </c>
      <c r="H97">
        <v>15</v>
      </c>
      <c r="I97">
        <v>94.1</v>
      </c>
      <c r="J97">
        <v>5.79</v>
      </c>
      <c r="K97">
        <v>0</v>
      </c>
      <c r="L97">
        <v>4.5</v>
      </c>
      <c r="M97">
        <v>607898.12</v>
      </c>
      <c r="N97">
        <v>135404.85</v>
      </c>
    </row>
    <row r="98" spans="1:14">
      <c r="A98" t="s">
        <v>46</v>
      </c>
      <c r="B98" s="2">
        <v>45658</v>
      </c>
      <c r="C98" t="s">
        <v>27</v>
      </c>
      <c r="D98" t="s">
        <v>28</v>
      </c>
      <c r="E98">
        <v>61132.07</v>
      </c>
      <c r="F98">
        <v>6394</v>
      </c>
      <c r="G98">
        <v>0.16300000000000001</v>
      </c>
      <c r="H98">
        <v>19</v>
      </c>
      <c r="I98">
        <v>91</v>
      </c>
      <c r="J98">
        <v>19.600000000000001</v>
      </c>
      <c r="K98">
        <v>0</v>
      </c>
      <c r="L98">
        <v>4.4000000000000004</v>
      </c>
      <c r="M98">
        <v>691113.62</v>
      </c>
      <c r="N98">
        <v>135145.44</v>
      </c>
    </row>
    <row r="99" spans="1:14">
      <c r="A99" t="s">
        <v>46</v>
      </c>
      <c r="B99" s="2">
        <v>45689</v>
      </c>
      <c r="C99" t="s">
        <v>27</v>
      </c>
      <c r="D99" t="s">
        <v>28</v>
      </c>
      <c r="E99">
        <v>78839.39</v>
      </c>
      <c r="F99">
        <v>5150</v>
      </c>
      <c r="G99">
        <v>0.17100000000000001</v>
      </c>
      <c r="H99">
        <v>13</v>
      </c>
      <c r="I99">
        <v>85.8</v>
      </c>
      <c r="J99">
        <v>7.57</v>
      </c>
      <c r="K99">
        <v>0</v>
      </c>
      <c r="L99">
        <v>4.3</v>
      </c>
      <c r="M99">
        <v>735509.4</v>
      </c>
      <c r="N99">
        <v>83895.96</v>
      </c>
    </row>
    <row r="100" spans="1:14">
      <c r="A100" t="s">
        <v>46</v>
      </c>
      <c r="B100" s="2">
        <v>45717</v>
      </c>
      <c r="C100" t="s">
        <v>27</v>
      </c>
      <c r="D100" t="s">
        <v>28</v>
      </c>
      <c r="E100">
        <v>38752.800000000003</v>
      </c>
      <c r="F100">
        <v>4712</v>
      </c>
      <c r="G100">
        <v>7.4999999999999997E-2</v>
      </c>
      <c r="H100">
        <v>15</v>
      </c>
      <c r="I100">
        <v>89.7</v>
      </c>
      <c r="J100">
        <v>4.5590445859872624</v>
      </c>
      <c r="K100">
        <v>0</v>
      </c>
      <c r="L100">
        <v>4.3</v>
      </c>
      <c r="M100">
        <v>605775.32999999996</v>
      </c>
      <c r="N100">
        <v>107194.6</v>
      </c>
    </row>
    <row r="101" spans="1:14">
      <c r="A101" t="s">
        <v>46</v>
      </c>
      <c r="B101" s="2">
        <v>45748</v>
      </c>
      <c r="C101" t="s">
        <v>27</v>
      </c>
      <c r="D101" t="s">
        <v>28</v>
      </c>
      <c r="E101">
        <v>55101.1</v>
      </c>
      <c r="F101">
        <v>5281</v>
      </c>
      <c r="G101">
        <v>0.189</v>
      </c>
      <c r="H101">
        <v>11</v>
      </c>
      <c r="I101">
        <v>91</v>
      </c>
      <c r="J101">
        <v>2.7</v>
      </c>
      <c r="K101">
        <v>0</v>
      </c>
      <c r="L101">
        <v>4.4000000000000004</v>
      </c>
      <c r="M101">
        <v>675177.68</v>
      </c>
      <c r="N101">
        <v>105628.68</v>
      </c>
    </row>
    <row r="102" spans="1:14">
      <c r="A102" t="s">
        <v>47</v>
      </c>
      <c r="B102" s="2">
        <v>45658</v>
      </c>
      <c r="C102" t="s">
        <v>15</v>
      </c>
      <c r="D102" t="s">
        <v>28</v>
      </c>
      <c r="E102">
        <v>53084.76</v>
      </c>
      <c r="F102">
        <v>3642</v>
      </c>
      <c r="G102">
        <v>0.15</v>
      </c>
      <c r="H102">
        <v>12</v>
      </c>
      <c r="I102">
        <v>91.4</v>
      </c>
      <c r="J102">
        <v>0.2</v>
      </c>
      <c r="K102">
        <v>0</v>
      </c>
      <c r="L102">
        <v>4.4000000000000004</v>
      </c>
      <c r="M102">
        <v>635181.35</v>
      </c>
      <c r="N102">
        <v>83341.25</v>
      </c>
    </row>
    <row r="103" spans="1:14">
      <c r="A103" t="s">
        <v>47</v>
      </c>
      <c r="B103" s="2">
        <v>45689</v>
      </c>
      <c r="C103" t="s">
        <v>15</v>
      </c>
      <c r="D103" t="s">
        <v>28</v>
      </c>
      <c r="E103">
        <v>63101.59</v>
      </c>
      <c r="F103">
        <v>4373</v>
      </c>
      <c r="G103">
        <v>0.17299999999999999</v>
      </c>
      <c r="H103">
        <v>14</v>
      </c>
      <c r="I103">
        <v>90.4</v>
      </c>
      <c r="J103">
        <v>7.87</v>
      </c>
      <c r="K103">
        <v>0</v>
      </c>
      <c r="L103">
        <v>4.7</v>
      </c>
      <c r="M103">
        <v>586626.93999999994</v>
      </c>
      <c r="N103">
        <v>86498.55</v>
      </c>
    </row>
    <row r="104" spans="1:14">
      <c r="A104" t="s">
        <v>47</v>
      </c>
      <c r="B104" s="2">
        <v>45717</v>
      </c>
      <c r="C104" t="s">
        <v>15</v>
      </c>
      <c r="D104" t="s">
        <v>28</v>
      </c>
      <c r="E104">
        <v>90084.4</v>
      </c>
      <c r="F104">
        <v>6832</v>
      </c>
      <c r="G104">
        <v>0.185</v>
      </c>
      <c r="H104">
        <v>14</v>
      </c>
      <c r="I104">
        <v>80.5</v>
      </c>
      <c r="J104">
        <v>0.77</v>
      </c>
      <c r="K104">
        <v>1</v>
      </c>
      <c r="L104">
        <v>4.4000000000000004</v>
      </c>
      <c r="M104">
        <v>740102.64</v>
      </c>
      <c r="N104">
        <v>114299.07</v>
      </c>
    </row>
    <row r="105" spans="1:14">
      <c r="A105" t="s">
        <v>47</v>
      </c>
      <c r="B105" s="2">
        <v>45748</v>
      </c>
      <c r="C105" t="s">
        <v>15</v>
      </c>
      <c r="D105" t="s">
        <v>28</v>
      </c>
      <c r="E105">
        <v>32266.639999999999</v>
      </c>
      <c r="F105">
        <v>2414</v>
      </c>
      <c r="G105">
        <v>0.08</v>
      </c>
      <c r="H105">
        <v>7</v>
      </c>
      <c r="I105">
        <v>92.1</v>
      </c>
      <c r="J105">
        <v>1.48</v>
      </c>
      <c r="K105">
        <v>0</v>
      </c>
      <c r="L105">
        <v>5</v>
      </c>
      <c r="M105">
        <v>625514.04</v>
      </c>
      <c r="N105">
        <v>120685.08</v>
      </c>
    </row>
    <row r="106" spans="1:14">
      <c r="A106" t="s">
        <v>48</v>
      </c>
      <c r="B106" s="2">
        <v>45658</v>
      </c>
      <c r="C106" t="s">
        <v>27</v>
      </c>
      <c r="D106" t="s">
        <v>18</v>
      </c>
      <c r="E106">
        <v>57919.07</v>
      </c>
      <c r="F106">
        <v>7374</v>
      </c>
      <c r="G106">
        <v>0.10299999999999999</v>
      </c>
      <c r="H106">
        <v>21</v>
      </c>
      <c r="I106">
        <v>82.3</v>
      </c>
      <c r="J106">
        <v>2.87</v>
      </c>
      <c r="K106">
        <v>0</v>
      </c>
      <c r="L106">
        <v>2.9</v>
      </c>
      <c r="M106">
        <v>727227.2</v>
      </c>
      <c r="N106">
        <v>121292.01</v>
      </c>
    </row>
    <row r="107" spans="1:14">
      <c r="A107" t="s">
        <v>48</v>
      </c>
      <c r="B107" s="2">
        <v>45689</v>
      </c>
      <c r="C107" t="s">
        <v>27</v>
      </c>
      <c r="D107" t="s">
        <v>18</v>
      </c>
      <c r="E107">
        <v>74679.350000000006</v>
      </c>
      <c r="F107">
        <v>8739</v>
      </c>
      <c r="G107">
        <v>5.6000000000000001E-2</v>
      </c>
      <c r="H107">
        <v>21</v>
      </c>
      <c r="I107">
        <v>91.8</v>
      </c>
      <c r="J107">
        <v>2.83</v>
      </c>
      <c r="K107">
        <v>0</v>
      </c>
      <c r="L107">
        <v>3</v>
      </c>
      <c r="M107">
        <v>783797.89</v>
      </c>
      <c r="N107">
        <v>157620.70000000001</v>
      </c>
    </row>
    <row r="108" spans="1:14">
      <c r="A108" t="s">
        <v>48</v>
      </c>
      <c r="B108" s="2">
        <v>45717</v>
      </c>
      <c r="C108" t="s">
        <v>27</v>
      </c>
      <c r="D108" t="s">
        <v>18</v>
      </c>
      <c r="E108">
        <v>64294.23</v>
      </c>
      <c r="F108">
        <v>6992</v>
      </c>
      <c r="G108">
        <v>0.13300000000000001</v>
      </c>
      <c r="H108">
        <v>14</v>
      </c>
      <c r="I108">
        <v>94.1</v>
      </c>
      <c r="J108">
        <v>0.25</v>
      </c>
      <c r="K108">
        <v>0</v>
      </c>
      <c r="L108">
        <v>3</v>
      </c>
      <c r="M108">
        <v>795153.84</v>
      </c>
      <c r="N108">
        <v>143194.21</v>
      </c>
    </row>
    <row r="109" spans="1:14">
      <c r="A109" t="s">
        <v>48</v>
      </c>
      <c r="B109" s="2">
        <v>45748</v>
      </c>
      <c r="C109" t="s">
        <v>27</v>
      </c>
      <c r="D109" t="s">
        <v>18</v>
      </c>
      <c r="E109">
        <v>31042.03</v>
      </c>
      <c r="F109">
        <v>7107</v>
      </c>
      <c r="G109">
        <v>5.0999999999999997E-2</v>
      </c>
      <c r="H109">
        <v>15</v>
      </c>
      <c r="I109">
        <v>87</v>
      </c>
      <c r="J109">
        <v>13.33</v>
      </c>
      <c r="K109">
        <v>0</v>
      </c>
      <c r="L109">
        <v>3.2</v>
      </c>
      <c r="M109">
        <v>665594.93999999994</v>
      </c>
      <c r="N109">
        <v>127597.34</v>
      </c>
    </row>
    <row r="110" spans="1:14">
      <c r="A110" t="s">
        <v>49</v>
      </c>
      <c r="B110" s="2">
        <v>45658</v>
      </c>
      <c r="C110" t="s">
        <v>15</v>
      </c>
      <c r="D110" t="s">
        <v>28</v>
      </c>
      <c r="E110">
        <v>75265.02</v>
      </c>
      <c r="F110">
        <v>6975</v>
      </c>
      <c r="G110">
        <v>0.157</v>
      </c>
      <c r="H110">
        <v>20</v>
      </c>
      <c r="I110">
        <v>73.8</v>
      </c>
      <c r="J110">
        <v>6.35</v>
      </c>
      <c r="K110">
        <v>1</v>
      </c>
      <c r="L110">
        <v>3.8</v>
      </c>
      <c r="M110">
        <v>709478.39</v>
      </c>
      <c r="N110">
        <v>71294.27</v>
      </c>
    </row>
    <row r="111" spans="1:14">
      <c r="A111" t="s">
        <v>49</v>
      </c>
      <c r="B111" s="2">
        <v>45689</v>
      </c>
      <c r="C111" t="s">
        <v>15</v>
      </c>
      <c r="D111" t="s">
        <v>28</v>
      </c>
      <c r="E111">
        <v>69411.7</v>
      </c>
      <c r="F111">
        <v>5493</v>
      </c>
      <c r="G111">
        <v>0.29199999999999998</v>
      </c>
      <c r="H111">
        <v>13</v>
      </c>
      <c r="I111">
        <v>86.5</v>
      </c>
      <c r="J111">
        <v>6.69</v>
      </c>
      <c r="K111">
        <v>0</v>
      </c>
      <c r="L111">
        <v>3.8</v>
      </c>
      <c r="M111">
        <v>664162.49</v>
      </c>
      <c r="N111">
        <v>98291.06</v>
      </c>
    </row>
    <row r="112" spans="1:14">
      <c r="A112" t="s">
        <v>49</v>
      </c>
      <c r="B112" s="2">
        <v>45717</v>
      </c>
      <c r="C112" t="s">
        <v>15</v>
      </c>
      <c r="D112" t="s">
        <v>28</v>
      </c>
      <c r="E112">
        <v>51056.15</v>
      </c>
      <c r="F112">
        <v>5686</v>
      </c>
      <c r="G112">
        <v>8.8999999999999996E-2</v>
      </c>
      <c r="H112">
        <v>13</v>
      </c>
      <c r="I112">
        <v>89.9</v>
      </c>
      <c r="J112">
        <v>1.28</v>
      </c>
      <c r="K112">
        <v>0</v>
      </c>
      <c r="L112">
        <v>4.2</v>
      </c>
      <c r="M112">
        <v>633494.21</v>
      </c>
      <c r="N112">
        <v>105739.47</v>
      </c>
    </row>
    <row r="113" spans="1:14">
      <c r="A113" t="s">
        <v>49</v>
      </c>
      <c r="B113" s="2">
        <v>45748</v>
      </c>
      <c r="C113" t="s">
        <v>15</v>
      </c>
      <c r="D113" t="s">
        <v>28</v>
      </c>
      <c r="E113">
        <v>52758.01</v>
      </c>
      <c r="F113">
        <v>4063</v>
      </c>
      <c r="G113">
        <v>5.7000000000000002E-2</v>
      </c>
      <c r="H113">
        <v>12</v>
      </c>
      <c r="I113">
        <v>91.7</v>
      </c>
      <c r="J113">
        <v>0.92</v>
      </c>
      <c r="K113">
        <v>0</v>
      </c>
      <c r="L113">
        <v>3.5</v>
      </c>
      <c r="M113">
        <v>713611.16</v>
      </c>
      <c r="N113">
        <v>129717.18</v>
      </c>
    </row>
    <row r="114" spans="1:14">
      <c r="A114" t="s">
        <v>50</v>
      </c>
      <c r="B114" s="2">
        <v>45658</v>
      </c>
      <c r="C114" t="s">
        <v>27</v>
      </c>
      <c r="D114" t="s">
        <v>28</v>
      </c>
      <c r="E114">
        <v>61426.04</v>
      </c>
      <c r="F114">
        <v>8966</v>
      </c>
      <c r="G114">
        <v>0.17299999999999999</v>
      </c>
      <c r="H114">
        <v>22</v>
      </c>
      <c r="I114">
        <v>76.400000000000006</v>
      </c>
      <c r="J114">
        <v>1.05</v>
      </c>
      <c r="K114">
        <v>0</v>
      </c>
      <c r="L114">
        <v>3.1</v>
      </c>
      <c r="M114">
        <v>778397.97</v>
      </c>
      <c r="N114">
        <v>120044.41</v>
      </c>
    </row>
    <row r="115" spans="1:14">
      <c r="A115" t="s">
        <v>50</v>
      </c>
      <c r="B115" s="2">
        <v>45689</v>
      </c>
      <c r="C115" t="s">
        <v>27</v>
      </c>
      <c r="D115" t="s">
        <v>28</v>
      </c>
      <c r="E115">
        <v>80176.34</v>
      </c>
      <c r="F115">
        <v>9489</v>
      </c>
      <c r="G115">
        <v>0.14199999999999999</v>
      </c>
      <c r="H115">
        <v>22</v>
      </c>
      <c r="I115">
        <v>94.3</v>
      </c>
      <c r="J115">
        <v>2.67</v>
      </c>
      <c r="K115">
        <v>0</v>
      </c>
      <c r="L115">
        <v>3.5</v>
      </c>
      <c r="M115">
        <v>873380.02</v>
      </c>
      <c r="N115">
        <v>149734.76</v>
      </c>
    </row>
    <row r="116" spans="1:14">
      <c r="A116" t="s">
        <v>50</v>
      </c>
      <c r="B116" s="2">
        <v>45717</v>
      </c>
      <c r="C116" t="s">
        <v>27</v>
      </c>
      <c r="D116" t="s">
        <v>28</v>
      </c>
      <c r="E116">
        <v>33605.18</v>
      </c>
      <c r="F116">
        <v>9225</v>
      </c>
      <c r="G116">
        <v>0.159</v>
      </c>
      <c r="H116">
        <v>23</v>
      </c>
      <c r="I116">
        <v>88.4</v>
      </c>
      <c r="J116">
        <v>5.91</v>
      </c>
      <c r="K116">
        <v>0</v>
      </c>
      <c r="L116">
        <v>2.8</v>
      </c>
      <c r="M116">
        <v>697287.9</v>
      </c>
      <c r="N116">
        <v>128208.33</v>
      </c>
    </row>
    <row r="117" spans="1:14">
      <c r="A117" t="s">
        <v>50</v>
      </c>
      <c r="B117" s="2">
        <v>45748</v>
      </c>
      <c r="C117" t="s">
        <v>27</v>
      </c>
      <c r="D117" t="s">
        <v>28</v>
      </c>
      <c r="E117">
        <v>25990.54</v>
      </c>
      <c r="F117">
        <v>9249</v>
      </c>
      <c r="G117">
        <v>0.13900000000000001</v>
      </c>
      <c r="H117">
        <v>23</v>
      </c>
      <c r="I117">
        <v>92.5</v>
      </c>
      <c r="J117">
        <v>6.37</v>
      </c>
      <c r="K117">
        <v>0</v>
      </c>
      <c r="L117">
        <v>3.3</v>
      </c>
      <c r="M117">
        <v>718074.79</v>
      </c>
      <c r="N117">
        <v>115819.87</v>
      </c>
    </row>
    <row r="118" spans="1:14">
      <c r="A118" t="s">
        <v>51</v>
      </c>
      <c r="B118" s="2">
        <v>45658</v>
      </c>
      <c r="C118" t="s">
        <v>27</v>
      </c>
      <c r="D118" t="s">
        <v>16</v>
      </c>
      <c r="E118">
        <v>43685.14</v>
      </c>
      <c r="F118">
        <v>7821</v>
      </c>
      <c r="G118">
        <v>0.19</v>
      </c>
      <c r="H118">
        <v>17</v>
      </c>
      <c r="I118">
        <v>91</v>
      </c>
      <c r="J118">
        <v>2.4900000000000002</v>
      </c>
      <c r="K118">
        <v>1</v>
      </c>
      <c r="L118">
        <v>4.7</v>
      </c>
      <c r="M118">
        <v>714942.43</v>
      </c>
      <c r="N118">
        <v>94697.71</v>
      </c>
    </row>
    <row r="119" spans="1:14">
      <c r="A119" t="s">
        <v>51</v>
      </c>
      <c r="B119" s="2">
        <v>45689</v>
      </c>
      <c r="C119" t="s">
        <v>27</v>
      </c>
      <c r="D119" t="s">
        <v>16</v>
      </c>
      <c r="E119">
        <v>57360.01</v>
      </c>
      <c r="F119">
        <v>8434</v>
      </c>
      <c r="G119">
        <v>0.151</v>
      </c>
      <c r="H119">
        <v>19</v>
      </c>
      <c r="I119">
        <v>84.1</v>
      </c>
      <c r="J119">
        <v>1.56</v>
      </c>
      <c r="K119">
        <v>0</v>
      </c>
      <c r="L119">
        <v>4.7</v>
      </c>
      <c r="M119">
        <v>820519.04</v>
      </c>
      <c r="N119">
        <v>99035.88</v>
      </c>
    </row>
    <row r="120" spans="1:14">
      <c r="A120" t="s">
        <v>51</v>
      </c>
      <c r="B120" s="2">
        <v>45717</v>
      </c>
      <c r="C120" t="s">
        <v>27</v>
      </c>
      <c r="D120" t="s">
        <v>16</v>
      </c>
      <c r="E120">
        <v>42415.47</v>
      </c>
      <c r="F120">
        <v>8512</v>
      </c>
      <c r="G120">
        <v>0.13300000000000001</v>
      </c>
      <c r="H120">
        <v>18</v>
      </c>
      <c r="I120">
        <v>96.8</v>
      </c>
      <c r="J120">
        <v>14.95</v>
      </c>
      <c r="K120">
        <v>0</v>
      </c>
      <c r="L120">
        <v>4.5999999999999996</v>
      </c>
      <c r="M120">
        <v>684217.32</v>
      </c>
      <c r="N120">
        <v>136217.19</v>
      </c>
    </row>
    <row r="121" spans="1:14">
      <c r="A121" t="s">
        <v>51</v>
      </c>
      <c r="B121" s="2">
        <v>45748</v>
      </c>
      <c r="C121" t="s">
        <v>27</v>
      </c>
      <c r="D121" t="s">
        <v>16</v>
      </c>
      <c r="E121">
        <v>54968.98</v>
      </c>
      <c r="F121">
        <v>7816</v>
      </c>
      <c r="G121">
        <v>0.23200000000000001</v>
      </c>
      <c r="H121">
        <v>19</v>
      </c>
      <c r="I121">
        <v>95.7</v>
      </c>
      <c r="J121">
        <v>7.85</v>
      </c>
      <c r="K121">
        <v>0</v>
      </c>
      <c r="L121">
        <v>4.7</v>
      </c>
      <c r="M121">
        <v>735480.19</v>
      </c>
      <c r="N121">
        <v>88342.11</v>
      </c>
    </row>
    <row r="122" spans="1:14">
      <c r="A122" t="s">
        <v>52</v>
      </c>
      <c r="B122" s="2">
        <v>45658</v>
      </c>
      <c r="C122" t="s">
        <v>20</v>
      </c>
      <c r="D122" t="s">
        <v>18</v>
      </c>
      <c r="E122">
        <v>43896.13</v>
      </c>
      <c r="F122">
        <v>3853</v>
      </c>
      <c r="G122">
        <v>8.7999999999999995E-2</v>
      </c>
      <c r="H122">
        <v>13</v>
      </c>
      <c r="I122">
        <v>83</v>
      </c>
      <c r="J122">
        <v>6.8</v>
      </c>
      <c r="K122">
        <v>0</v>
      </c>
      <c r="L122">
        <v>4.4000000000000004</v>
      </c>
      <c r="M122">
        <v>509484.81</v>
      </c>
      <c r="N122">
        <v>85742.36</v>
      </c>
    </row>
    <row r="123" spans="1:14">
      <c r="A123" t="s">
        <v>52</v>
      </c>
      <c r="B123" s="2">
        <v>45689</v>
      </c>
      <c r="C123" t="s">
        <v>20</v>
      </c>
      <c r="D123" t="s">
        <v>18</v>
      </c>
      <c r="E123">
        <v>83044.17</v>
      </c>
      <c r="F123">
        <v>3694</v>
      </c>
      <c r="G123">
        <v>0</v>
      </c>
      <c r="H123">
        <v>14</v>
      </c>
      <c r="I123">
        <v>89.4</v>
      </c>
      <c r="J123">
        <v>2.2000000000000002</v>
      </c>
      <c r="K123">
        <v>0</v>
      </c>
      <c r="L123">
        <v>3.7</v>
      </c>
      <c r="M123">
        <v>654317.09</v>
      </c>
      <c r="N123">
        <v>121446.89</v>
      </c>
    </row>
    <row r="124" spans="1:14">
      <c r="A124" t="s">
        <v>52</v>
      </c>
      <c r="B124" s="2">
        <v>45717</v>
      </c>
      <c r="C124" t="s">
        <v>20</v>
      </c>
      <c r="D124" t="s">
        <v>18</v>
      </c>
      <c r="E124">
        <v>48396.13</v>
      </c>
      <c r="F124">
        <v>4423</v>
      </c>
      <c r="G124">
        <v>6.9000000000000006E-2</v>
      </c>
      <c r="H124">
        <v>15</v>
      </c>
      <c r="I124">
        <v>85.7</v>
      </c>
      <c r="J124">
        <v>1.88</v>
      </c>
      <c r="K124">
        <v>0</v>
      </c>
      <c r="L124">
        <v>3.9</v>
      </c>
      <c r="M124">
        <v>557487.26</v>
      </c>
      <c r="N124">
        <v>76432.19</v>
      </c>
    </row>
    <row r="125" spans="1:14">
      <c r="A125" t="s">
        <v>52</v>
      </c>
      <c r="B125" s="2">
        <v>45748</v>
      </c>
      <c r="C125" t="s">
        <v>20</v>
      </c>
      <c r="D125" t="s">
        <v>18</v>
      </c>
      <c r="E125">
        <v>19063.48</v>
      </c>
      <c r="F125">
        <v>1906</v>
      </c>
      <c r="G125">
        <v>0.216</v>
      </c>
      <c r="H125">
        <v>10</v>
      </c>
      <c r="I125">
        <v>97.8</v>
      </c>
      <c r="J125">
        <v>15.79</v>
      </c>
      <c r="K125">
        <v>0</v>
      </c>
      <c r="L125">
        <v>4.4000000000000004</v>
      </c>
      <c r="M125">
        <v>441275.42</v>
      </c>
      <c r="N125">
        <v>58234.87</v>
      </c>
    </row>
    <row r="126" spans="1:14">
      <c r="A126" t="s">
        <v>53</v>
      </c>
      <c r="B126" s="2">
        <v>45658</v>
      </c>
      <c r="C126" t="s">
        <v>24</v>
      </c>
      <c r="D126" t="s">
        <v>18</v>
      </c>
      <c r="E126">
        <v>61541.21</v>
      </c>
      <c r="F126">
        <v>10396</v>
      </c>
      <c r="G126">
        <v>0.123</v>
      </c>
      <c r="H126">
        <v>25</v>
      </c>
      <c r="I126">
        <v>88.1</v>
      </c>
      <c r="J126">
        <v>2.34</v>
      </c>
      <c r="K126">
        <v>1</v>
      </c>
      <c r="L126">
        <v>4.8</v>
      </c>
      <c r="M126">
        <v>914544.17</v>
      </c>
      <c r="N126">
        <v>79831.73</v>
      </c>
    </row>
    <row r="127" spans="1:14">
      <c r="A127" t="s">
        <v>53</v>
      </c>
      <c r="B127" s="2">
        <v>45689</v>
      </c>
      <c r="C127" t="s">
        <v>24</v>
      </c>
      <c r="D127" t="s">
        <v>18</v>
      </c>
      <c r="E127">
        <v>44747</v>
      </c>
      <c r="F127">
        <v>11076</v>
      </c>
      <c r="G127">
        <v>0.17599999999999999</v>
      </c>
      <c r="H127">
        <v>27</v>
      </c>
      <c r="I127">
        <v>98.3</v>
      </c>
      <c r="J127">
        <v>0.54</v>
      </c>
      <c r="K127">
        <v>0</v>
      </c>
      <c r="L127">
        <v>4.4000000000000004</v>
      </c>
      <c r="M127">
        <v>842439.67</v>
      </c>
      <c r="N127">
        <v>169983.63</v>
      </c>
    </row>
    <row r="128" spans="1:14">
      <c r="A128" t="s">
        <v>53</v>
      </c>
      <c r="B128" s="2">
        <v>45717</v>
      </c>
      <c r="C128" t="s">
        <v>24</v>
      </c>
      <c r="D128" t="s">
        <v>18</v>
      </c>
      <c r="E128">
        <v>56517.9</v>
      </c>
      <c r="F128">
        <v>9574</v>
      </c>
      <c r="G128">
        <v>0.20399999999999999</v>
      </c>
      <c r="H128">
        <v>20</v>
      </c>
      <c r="I128">
        <v>88.2</v>
      </c>
      <c r="J128">
        <v>5.37</v>
      </c>
      <c r="K128">
        <v>1</v>
      </c>
      <c r="L128">
        <v>4.9000000000000004</v>
      </c>
      <c r="M128">
        <v>842157.92</v>
      </c>
      <c r="N128">
        <v>107348.22</v>
      </c>
    </row>
    <row r="129" spans="1:14">
      <c r="A129" t="s">
        <v>53</v>
      </c>
      <c r="B129" s="2">
        <v>45748</v>
      </c>
      <c r="C129" t="s">
        <v>24</v>
      </c>
      <c r="D129" t="s">
        <v>18</v>
      </c>
      <c r="E129">
        <v>37828.5</v>
      </c>
      <c r="F129">
        <v>8221</v>
      </c>
      <c r="G129">
        <v>9.6000000000000002E-2</v>
      </c>
      <c r="H129">
        <v>19</v>
      </c>
      <c r="I129">
        <v>81.5</v>
      </c>
      <c r="J129">
        <v>3.19</v>
      </c>
      <c r="K129">
        <v>0</v>
      </c>
      <c r="L129">
        <v>4.8</v>
      </c>
      <c r="M129">
        <v>697155.3</v>
      </c>
      <c r="N129">
        <v>136408.54</v>
      </c>
    </row>
    <row r="130" spans="1:14">
      <c r="A130" t="s">
        <v>54</v>
      </c>
      <c r="B130" s="2">
        <v>45658</v>
      </c>
      <c r="C130" t="s">
        <v>15</v>
      </c>
      <c r="D130" t="s">
        <v>18</v>
      </c>
      <c r="E130">
        <v>66250.53</v>
      </c>
      <c r="F130">
        <v>10618</v>
      </c>
      <c r="G130">
        <v>0.14199999999999999</v>
      </c>
      <c r="H130">
        <v>27</v>
      </c>
      <c r="I130">
        <v>88.3</v>
      </c>
      <c r="J130">
        <v>1.1000000000000001</v>
      </c>
      <c r="K130">
        <v>1</v>
      </c>
      <c r="L130">
        <v>4.4000000000000004</v>
      </c>
      <c r="M130">
        <v>849018.3</v>
      </c>
      <c r="N130">
        <v>149035.13</v>
      </c>
    </row>
    <row r="131" spans="1:14">
      <c r="A131" t="s">
        <v>54</v>
      </c>
      <c r="B131" s="2">
        <v>45689</v>
      </c>
      <c r="C131" t="s">
        <v>15</v>
      </c>
      <c r="D131" t="s">
        <v>18</v>
      </c>
      <c r="E131">
        <v>68410.929999999993</v>
      </c>
      <c r="F131">
        <v>10596</v>
      </c>
      <c r="G131">
        <v>0.20699999999999999</v>
      </c>
      <c r="H131">
        <v>25</v>
      </c>
      <c r="I131">
        <v>81.2</v>
      </c>
      <c r="J131">
        <v>0.21</v>
      </c>
      <c r="K131">
        <v>0</v>
      </c>
      <c r="L131">
        <v>4</v>
      </c>
      <c r="M131">
        <v>801830.35</v>
      </c>
      <c r="N131">
        <v>114875.32</v>
      </c>
    </row>
    <row r="132" spans="1:14">
      <c r="A132" t="s">
        <v>54</v>
      </c>
      <c r="B132" s="2">
        <v>45717</v>
      </c>
      <c r="C132" t="s">
        <v>15</v>
      </c>
      <c r="D132" t="s">
        <v>18</v>
      </c>
      <c r="E132">
        <v>50735.63</v>
      </c>
      <c r="F132">
        <v>9619</v>
      </c>
      <c r="G132">
        <v>0.14399999999999999</v>
      </c>
      <c r="H132">
        <v>19</v>
      </c>
      <c r="I132">
        <v>93.8</v>
      </c>
      <c r="J132">
        <v>5.12</v>
      </c>
      <c r="K132">
        <v>1</v>
      </c>
      <c r="L132">
        <v>4.5</v>
      </c>
      <c r="M132">
        <v>725235.28</v>
      </c>
      <c r="N132">
        <v>121632.24</v>
      </c>
    </row>
    <row r="133" spans="1:14">
      <c r="A133" t="s">
        <v>54</v>
      </c>
      <c r="B133" s="2">
        <v>45748</v>
      </c>
      <c r="C133" t="s">
        <v>15</v>
      </c>
      <c r="D133" t="s">
        <v>18</v>
      </c>
      <c r="E133">
        <v>66455.8</v>
      </c>
      <c r="F133">
        <v>10836</v>
      </c>
      <c r="G133">
        <v>8.8999999999999996E-2</v>
      </c>
      <c r="H133">
        <v>25</v>
      </c>
      <c r="I133">
        <v>85</v>
      </c>
      <c r="J133">
        <v>9.77</v>
      </c>
      <c r="K133">
        <v>0</v>
      </c>
      <c r="L133">
        <v>4.5</v>
      </c>
      <c r="M133">
        <v>811452.72</v>
      </c>
      <c r="N133">
        <v>131325.67000000001</v>
      </c>
    </row>
    <row r="134" spans="1:14">
      <c r="A134" t="s">
        <v>55</v>
      </c>
      <c r="B134" s="2">
        <v>45658</v>
      </c>
      <c r="C134" t="s">
        <v>20</v>
      </c>
      <c r="D134" t="s">
        <v>18</v>
      </c>
      <c r="E134">
        <v>70276.28</v>
      </c>
      <c r="F134">
        <v>3043</v>
      </c>
      <c r="G134">
        <v>7.9000000000000001E-2</v>
      </c>
      <c r="H134">
        <v>9</v>
      </c>
      <c r="I134">
        <v>87.9</v>
      </c>
      <c r="J134">
        <v>3.77</v>
      </c>
      <c r="K134">
        <v>0</v>
      </c>
      <c r="L134">
        <v>4.4000000000000004</v>
      </c>
      <c r="M134">
        <v>527300.13</v>
      </c>
      <c r="N134">
        <v>84197.87</v>
      </c>
    </row>
    <row r="135" spans="1:14">
      <c r="A135" t="s">
        <v>55</v>
      </c>
      <c r="B135" s="2">
        <v>45689</v>
      </c>
      <c r="C135" t="s">
        <v>20</v>
      </c>
      <c r="D135" t="s">
        <v>18</v>
      </c>
      <c r="E135">
        <v>22071.64</v>
      </c>
      <c r="F135">
        <v>1814</v>
      </c>
      <c r="G135">
        <v>0.19600000000000001</v>
      </c>
      <c r="H135">
        <v>8</v>
      </c>
      <c r="I135">
        <v>81.099999999999994</v>
      </c>
      <c r="J135">
        <v>0.78</v>
      </c>
      <c r="K135">
        <v>0</v>
      </c>
      <c r="L135">
        <v>3.9246794871794877</v>
      </c>
      <c r="M135">
        <v>400831.65</v>
      </c>
      <c r="N135">
        <v>70979.31</v>
      </c>
    </row>
    <row r="136" spans="1:14">
      <c r="A136" t="s">
        <v>55</v>
      </c>
      <c r="B136" s="2">
        <v>45717</v>
      </c>
      <c r="C136" t="s">
        <v>20</v>
      </c>
      <c r="D136" t="s">
        <v>18</v>
      </c>
      <c r="E136">
        <v>52285.45</v>
      </c>
      <c r="F136">
        <v>3618</v>
      </c>
      <c r="G136">
        <v>8.5999999999999993E-2</v>
      </c>
      <c r="H136">
        <v>11</v>
      </c>
      <c r="I136">
        <v>95.6</v>
      </c>
      <c r="J136">
        <v>5.17</v>
      </c>
      <c r="K136">
        <v>1</v>
      </c>
      <c r="L136">
        <v>4.4000000000000004</v>
      </c>
      <c r="M136">
        <v>593247.25</v>
      </c>
      <c r="N136">
        <v>81240.289999999994</v>
      </c>
    </row>
    <row r="137" spans="1:14">
      <c r="A137" t="s">
        <v>55</v>
      </c>
      <c r="B137" s="2">
        <v>45748</v>
      </c>
      <c r="C137" t="s">
        <v>20</v>
      </c>
      <c r="D137" t="s">
        <v>18</v>
      </c>
      <c r="E137">
        <v>70366.759999999995</v>
      </c>
      <c r="F137">
        <v>1963</v>
      </c>
      <c r="G137">
        <v>0.182</v>
      </c>
      <c r="H137">
        <v>8</v>
      </c>
      <c r="I137">
        <v>89.8</v>
      </c>
      <c r="J137">
        <v>3.2</v>
      </c>
      <c r="K137">
        <v>0</v>
      </c>
      <c r="L137">
        <v>4.5999999999999996</v>
      </c>
      <c r="M137">
        <v>529075.94999999995</v>
      </c>
      <c r="N137">
        <v>95978.83</v>
      </c>
    </row>
    <row r="138" spans="1:14">
      <c r="A138" t="s">
        <v>56</v>
      </c>
      <c r="B138" s="2">
        <v>45658</v>
      </c>
      <c r="C138" t="s">
        <v>24</v>
      </c>
      <c r="D138" t="s">
        <v>16</v>
      </c>
      <c r="E138">
        <v>71320.66</v>
      </c>
      <c r="F138">
        <v>7888</v>
      </c>
      <c r="G138">
        <v>4.8000000000000001E-2</v>
      </c>
      <c r="H138">
        <v>20</v>
      </c>
      <c r="I138">
        <v>78.099999999999994</v>
      </c>
      <c r="J138">
        <v>3.4</v>
      </c>
      <c r="K138">
        <v>0</v>
      </c>
      <c r="L138">
        <v>3.9246794871794877</v>
      </c>
      <c r="M138">
        <v>633638.03</v>
      </c>
      <c r="N138">
        <v>99402.01</v>
      </c>
    </row>
    <row r="139" spans="1:14">
      <c r="A139" t="s">
        <v>56</v>
      </c>
      <c r="B139" s="2">
        <v>45689</v>
      </c>
      <c r="C139" t="s">
        <v>24</v>
      </c>
      <c r="D139" t="s">
        <v>16</v>
      </c>
      <c r="E139">
        <v>75109.67</v>
      </c>
      <c r="F139">
        <v>6244</v>
      </c>
      <c r="G139">
        <v>7.9000000000000001E-2</v>
      </c>
      <c r="H139">
        <v>15</v>
      </c>
      <c r="I139">
        <v>96.3</v>
      </c>
      <c r="J139">
        <v>7.38</v>
      </c>
      <c r="K139">
        <v>0</v>
      </c>
      <c r="L139">
        <v>3.7</v>
      </c>
      <c r="M139">
        <v>743348.84</v>
      </c>
      <c r="N139">
        <v>104186.09</v>
      </c>
    </row>
    <row r="140" spans="1:14">
      <c r="A140" t="s">
        <v>56</v>
      </c>
      <c r="B140" s="2">
        <v>45717</v>
      </c>
      <c r="C140" t="s">
        <v>24</v>
      </c>
      <c r="D140" t="s">
        <v>16</v>
      </c>
      <c r="E140">
        <v>69779</v>
      </c>
      <c r="F140">
        <v>6544</v>
      </c>
      <c r="G140">
        <v>0.152</v>
      </c>
      <c r="H140">
        <v>18</v>
      </c>
      <c r="I140">
        <v>90.2</v>
      </c>
      <c r="J140">
        <v>0.85</v>
      </c>
      <c r="K140">
        <v>1</v>
      </c>
      <c r="L140">
        <v>3.3</v>
      </c>
      <c r="M140">
        <v>758827.64</v>
      </c>
      <c r="N140">
        <v>161439.48000000001</v>
      </c>
    </row>
    <row r="141" spans="1:14">
      <c r="A141" t="s">
        <v>56</v>
      </c>
      <c r="B141" s="2">
        <v>45748</v>
      </c>
      <c r="C141" t="s">
        <v>24</v>
      </c>
      <c r="D141" t="s">
        <v>16</v>
      </c>
      <c r="E141">
        <v>44211.95</v>
      </c>
      <c r="F141">
        <v>5465</v>
      </c>
      <c r="G141">
        <v>0.187</v>
      </c>
      <c r="H141">
        <v>12</v>
      </c>
      <c r="I141">
        <v>90</v>
      </c>
      <c r="J141">
        <v>2.89</v>
      </c>
      <c r="K141">
        <v>0</v>
      </c>
      <c r="L141">
        <v>3.6</v>
      </c>
      <c r="M141">
        <v>646559.71</v>
      </c>
      <c r="N141">
        <v>97981.75</v>
      </c>
    </row>
    <row r="142" spans="1:14">
      <c r="A142" t="s">
        <v>57</v>
      </c>
      <c r="B142" s="2">
        <v>45658</v>
      </c>
      <c r="C142" t="s">
        <v>27</v>
      </c>
      <c r="D142" t="s">
        <v>18</v>
      </c>
      <c r="E142">
        <v>51430.31</v>
      </c>
      <c r="F142">
        <v>6427</v>
      </c>
      <c r="G142">
        <v>0.23400000000000001</v>
      </c>
      <c r="H142">
        <v>14</v>
      </c>
      <c r="I142">
        <v>88.8</v>
      </c>
      <c r="J142">
        <v>0.77</v>
      </c>
      <c r="K142">
        <v>0</v>
      </c>
      <c r="L142">
        <v>4.0999999999999996</v>
      </c>
      <c r="M142">
        <v>715890.53</v>
      </c>
      <c r="N142">
        <v>109032.15</v>
      </c>
    </row>
    <row r="143" spans="1:14">
      <c r="A143" t="s">
        <v>57</v>
      </c>
      <c r="B143" s="2">
        <v>45689</v>
      </c>
      <c r="C143" t="s">
        <v>27</v>
      </c>
      <c r="D143" t="s">
        <v>18</v>
      </c>
      <c r="E143">
        <v>45706.49</v>
      </c>
      <c r="F143">
        <v>6704</v>
      </c>
      <c r="G143">
        <v>3.7999999999999999E-2</v>
      </c>
      <c r="H143">
        <v>15</v>
      </c>
      <c r="I143">
        <v>94.2</v>
      </c>
      <c r="J143">
        <v>2.92</v>
      </c>
      <c r="K143">
        <v>0</v>
      </c>
      <c r="L143">
        <v>4.2</v>
      </c>
      <c r="M143">
        <v>715097.57</v>
      </c>
      <c r="N143">
        <v>151875.85999999999</v>
      </c>
    </row>
    <row r="144" spans="1:14">
      <c r="A144" t="s">
        <v>57</v>
      </c>
      <c r="B144" s="2">
        <v>45717</v>
      </c>
      <c r="C144" t="s">
        <v>27</v>
      </c>
      <c r="D144" t="s">
        <v>18</v>
      </c>
      <c r="E144">
        <v>44034.6</v>
      </c>
      <c r="F144">
        <v>5645</v>
      </c>
      <c r="G144">
        <v>6.9000000000000006E-2</v>
      </c>
      <c r="H144">
        <v>18</v>
      </c>
      <c r="I144">
        <v>88.5</v>
      </c>
      <c r="J144">
        <v>3.07</v>
      </c>
      <c r="K144">
        <v>0</v>
      </c>
      <c r="L144">
        <v>3.8</v>
      </c>
      <c r="M144">
        <v>682639.28</v>
      </c>
      <c r="N144">
        <v>77557.53</v>
      </c>
    </row>
    <row r="145" spans="1:14">
      <c r="A145" t="s">
        <v>57</v>
      </c>
      <c r="B145" s="2">
        <v>45748</v>
      </c>
      <c r="C145" t="s">
        <v>27</v>
      </c>
      <c r="D145" t="s">
        <v>18</v>
      </c>
      <c r="E145">
        <v>50198.12</v>
      </c>
      <c r="F145">
        <v>6089</v>
      </c>
      <c r="G145">
        <v>0.182</v>
      </c>
      <c r="H145">
        <v>19</v>
      </c>
      <c r="I145">
        <v>94</v>
      </c>
      <c r="J145">
        <v>9.6999999999999993</v>
      </c>
      <c r="K145">
        <v>0</v>
      </c>
      <c r="L145">
        <v>3.9</v>
      </c>
      <c r="M145">
        <v>695098.51</v>
      </c>
      <c r="N145">
        <v>108192.75</v>
      </c>
    </row>
    <row r="146" spans="1:14">
      <c r="A146" t="s">
        <v>58</v>
      </c>
      <c r="B146" s="2">
        <v>45658</v>
      </c>
      <c r="C146" t="s">
        <v>20</v>
      </c>
      <c r="D146" t="s">
        <v>16</v>
      </c>
      <c r="E146">
        <v>70488.2</v>
      </c>
      <c r="F146">
        <v>4312</v>
      </c>
      <c r="G146">
        <v>0.16900000000000001</v>
      </c>
      <c r="H146">
        <v>12</v>
      </c>
      <c r="I146">
        <v>90.2</v>
      </c>
      <c r="J146">
        <v>3.71</v>
      </c>
      <c r="K146">
        <v>0</v>
      </c>
      <c r="L146">
        <v>3.2</v>
      </c>
      <c r="M146">
        <v>577732.56999999995</v>
      </c>
      <c r="N146">
        <v>93804.27</v>
      </c>
    </row>
    <row r="147" spans="1:14">
      <c r="A147" t="s">
        <v>58</v>
      </c>
      <c r="B147" s="2">
        <v>45689</v>
      </c>
      <c r="C147" t="s">
        <v>20</v>
      </c>
      <c r="D147" t="s">
        <v>16</v>
      </c>
      <c r="E147">
        <v>50909.27</v>
      </c>
      <c r="F147">
        <v>3152</v>
      </c>
      <c r="G147">
        <v>0.06</v>
      </c>
      <c r="H147">
        <v>13</v>
      </c>
      <c r="I147">
        <v>93.7</v>
      </c>
      <c r="J147">
        <v>10.79</v>
      </c>
      <c r="K147">
        <v>0</v>
      </c>
      <c r="L147">
        <v>3.5</v>
      </c>
      <c r="M147">
        <v>537058.32999999996</v>
      </c>
      <c r="N147">
        <v>93555.71</v>
      </c>
    </row>
    <row r="148" spans="1:14">
      <c r="A148" t="s">
        <v>58</v>
      </c>
      <c r="B148" s="2">
        <v>45717</v>
      </c>
      <c r="C148" t="s">
        <v>20</v>
      </c>
      <c r="D148" t="s">
        <v>16</v>
      </c>
      <c r="E148">
        <v>53351.7</v>
      </c>
      <c r="F148">
        <v>4259</v>
      </c>
      <c r="G148">
        <v>0.156</v>
      </c>
      <c r="H148">
        <v>15</v>
      </c>
      <c r="I148">
        <v>93.7</v>
      </c>
      <c r="J148">
        <v>6.03</v>
      </c>
      <c r="K148">
        <v>0</v>
      </c>
      <c r="L148">
        <v>3.4</v>
      </c>
      <c r="M148">
        <v>601568.87</v>
      </c>
      <c r="N148">
        <v>91634.82</v>
      </c>
    </row>
    <row r="149" spans="1:14">
      <c r="A149" t="s">
        <v>58</v>
      </c>
      <c r="B149" s="2">
        <v>45748</v>
      </c>
      <c r="C149" t="s">
        <v>20</v>
      </c>
      <c r="D149" t="s">
        <v>16</v>
      </c>
      <c r="E149">
        <v>60322.400000000001</v>
      </c>
      <c r="F149">
        <v>3350</v>
      </c>
      <c r="G149">
        <v>0.108</v>
      </c>
      <c r="H149">
        <v>12</v>
      </c>
      <c r="I149">
        <v>89.4</v>
      </c>
      <c r="J149">
        <v>4.92</v>
      </c>
      <c r="K149">
        <v>0</v>
      </c>
      <c r="L149">
        <v>3.4</v>
      </c>
      <c r="M149">
        <v>570964.84</v>
      </c>
      <c r="N149">
        <v>81331.070000000007</v>
      </c>
    </row>
    <row r="150" spans="1:14">
      <c r="A150" t="s">
        <v>59</v>
      </c>
      <c r="B150" s="2">
        <v>45658</v>
      </c>
      <c r="C150" t="s">
        <v>24</v>
      </c>
      <c r="D150" t="s">
        <v>28</v>
      </c>
      <c r="E150">
        <v>51575.68</v>
      </c>
      <c r="F150">
        <v>5329</v>
      </c>
      <c r="G150">
        <v>4.7E-2</v>
      </c>
      <c r="H150">
        <v>17</v>
      </c>
      <c r="I150">
        <v>88.1</v>
      </c>
      <c r="J150">
        <v>19.78</v>
      </c>
      <c r="K150">
        <v>0</v>
      </c>
      <c r="L150">
        <v>3.8</v>
      </c>
      <c r="M150">
        <v>614024.91</v>
      </c>
      <c r="N150">
        <v>84828.93</v>
      </c>
    </row>
    <row r="151" spans="1:14">
      <c r="A151" t="s">
        <v>59</v>
      </c>
      <c r="B151" s="2">
        <v>45689</v>
      </c>
      <c r="C151" t="s">
        <v>24</v>
      </c>
      <c r="D151" t="s">
        <v>28</v>
      </c>
      <c r="E151">
        <v>43319.94</v>
      </c>
      <c r="F151">
        <v>6551</v>
      </c>
      <c r="G151">
        <v>4.3999999999999997E-2</v>
      </c>
      <c r="H151">
        <v>13</v>
      </c>
      <c r="I151">
        <v>99</v>
      </c>
      <c r="J151">
        <v>5.45</v>
      </c>
      <c r="K151">
        <v>0</v>
      </c>
      <c r="L151">
        <v>4.0999999999999996</v>
      </c>
      <c r="M151">
        <v>712868.35</v>
      </c>
      <c r="N151">
        <v>133650.51</v>
      </c>
    </row>
    <row r="152" spans="1:14">
      <c r="A152" t="s">
        <v>59</v>
      </c>
      <c r="B152" s="2">
        <v>45717</v>
      </c>
      <c r="C152" t="s">
        <v>24</v>
      </c>
      <c r="D152" t="s">
        <v>28</v>
      </c>
      <c r="E152">
        <v>47093.55</v>
      </c>
      <c r="F152">
        <v>5550</v>
      </c>
      <c r="G152">
        <v>0.1</v>
      </c>
      <c r="H152">
        <v>12</v>
      </c>
      <c r="I152">
        <v>95</v>
      </c>
      <c r="J152">
        <v>2.33</v>
      </c>
      <c r="K152">
        <v>1</v>
      </c>
      <c r="L152">
        <v>3.7</v>
      </c>
      <c r="M152">
        <v>696744.15</v>
      </c>
      <c r="N152">
        <v>152230.09</v>
      </c>
    </row>
    <row r="153" spans="1:14">
      <c r="A153" t="s">
        <v>59</v>
      </c>
      <c r="B153" s="2">
        <v>45748</v>
      </c>
      <c r="C153" t="s">
        <v>24</v>
      </c>
      <c r="D153" t="s">
        <v>28</v>
      </c>
      <c r="E153">
        <v>71855.09</v>
      </c>
      <c r="F153">
        <v>5911</v>
      </c>
      <c r="G153">
        <v>0.19700000000000001</v>
      </c>
      <c r="H153">
        <v>15</v>
      </c>
      <c r="I153">
        <v>94.3</v>
      </c>
      <c r="J153">
        <v>3.55</v>
      </c>
      <c r="K153">
        <v>0</v>
      </c>
      <c r="L153">
        <v>4.0999999999999996</v>
      </c>
      <c r="M153">
        <v>725847.99</v>
      </c>
      <c r="N153">
        <v>122698.73</v>
      </c>
    </row>
    <row r="154" spans="1:14">
      <c r="A154" t="s">
        <v>60</v>
      </c>
      <c r="B154" s="2">
        <v>45658</v>
      </c>
      <c r="C154" t="s">
        <v>15</v>
      </c>
      <c r="D154" t="s">
        <v>18</v>
      </c>
      <c r="E154">
        <v>75645.23</v>
      </c>
      <c r="F154">
        <v>9674</v>
      </c>
      <c r="G154">
        <v>0.23400000000000001</v>
      </c>
      <c r="H154">
        <v>21</v>
      </c>
      <c r="I154">
        <v>87.4</v>
      </c>
      <c r="J154">
        <v>0.2</v>
      </c>
      <c r="K154">
        <v>0</v>
      </c>
      <c r="L154">
        <v>4.5</v>
      </c>
      <c r="M154">
        <v>785028.25</v>
      </c>
      <c r="N154">
        <v>110726.44</v>
      </c>
    </row>
    <row r="155" spans="1:14">
      <c r="A155" t="s">
        <v>60</v>
      </c>
      <c r="B155" s="2">
        <v>45689</v>
      </c>
      <c r="C155" t="s">
        <v>15</v>
      </c>
      <c r="D155" t="s">
        <v>18</v>
      </c>
      <c r="E155">
        <v>64374.75</v>
      </c>
      <c r="F155">
        <v>6740</v>
      </c>
      <c r="G155">
        <v>0.16900000000000001</v>
      </c>
      <c r="H155">
        <v>18</v>
      </c>
      <c r="I155">
        <v>87</v>
      </c>
      <c r="J155">
        <v>2.09</v>
      </c>
      <c r="K155">
        <v>0</v>
      </c>
      <c r="L155">
        <v>4.2</v>
      </c>
      <c r="M155">
        <v>698492.67</v>
      </c>
      <c r="N155">
        <v>117319.32</v>
      </c>
    </row>
    <row r="156" spans="1:14">
      <c r="A156" t="s">
        <v>60</v>
      </c>
      <c r="B156" s="2">
        <v>45717</v>
      </c>
      <c r="C156" t="s">
        <v>15</v>
      </c>
      <c r="D156" t="s">
        <v>18</v>
      </c>
      <c r="E156">
        <v>61433.84</v>
      </c>
      <c r="F156">
        <v>7745</v>
      </c>
      <c r="G156">
        <v>0.18</v>
      </c>
      <c r="H156">
        <v>16</v>
      </c>
      <c r="I156">
        <v>90.5</v>
      </c>
      <c r="J156">
        <v>2.2599999999999998</v>
      </c>
      <c r="K156">
        <v>0</v>
      </c>
      <c r="L156">
        <v>4.2</v>
      </c>
      <c r="M156">
        <v>685830.24</v>
      </c>
      <c r="N156">
        <v>128736.18</v>
      </c>
    </row>
    <row r="157" spans="1:14">
      <c r="A157" t="s">
        <v>60</v>
      </c>
      <c r="B157" s="2">
        <v>45748</v>
      </c>
      <c r="C157" t="s">
        <v>15</v>
      </c>
      <c r="D157" t="s">
        <v>18</v>
      </c>
      <c r="E157">
        <v>42698.14</v>
      </c>
      <c r="F157">
        <v>7693</v>
      </c>
      <c r="G157">
        <v>0.187</v>
      </c>
      <c r="H157">
        <v>19</v>
      </c>
      <c r="I157">
        <v>90.1</v>
      </c>
      <c r="J157">
        <v>0.44</v>
      </c>
      <c r="K157">
        <v>0</v>
      </c>
      <c r="L157">
        <v>4.4000000000000004</v>
      </c>
      <c r="M157">
        <v>702318.94</v>
      </c>
      <c r="N157">
        <v>112829.29</v>
      </c>
    </row>
    <row r="158" spans="1:14">
      <c r="A158" t="s">
        <v>61</v>
      </c>
      <c r="B158" s="2">
        <v>45658</v>
      </c>
      <c r="C158" t="s">
        <v>20</v>
      </c>
      <c r="D158" t="s">
        <v>28</v>
      </c>
      <c r="E158">
        <v>86883.31</v>
      </c>
      <c r="F158">
        <v>6424</v>
      </c>
      <c r="G158">
        <v>5.7000000000000002E-2</v>
      </c>
      <c r="H158">
        <v>19</v>
      </c>
      <c r="I158">
        <v>85.2</v>
      </c>
      <c r="J158">
        <v>3.08</v>
      </c>
      <c r="K158">
        <v>0</v>
      </c>
      <c r="L158">
        <v>3.9</v>
      </c>
      <c r="M158">
        <v>700078.32</v>
      </c>
      <c r="N158">
        <v>123707.58</v>
      </c>
    </row>
    <row r="159" spans="1:14">
      <c r="A159" t="s">
        <v>61</v>
      </c>
      <c r="B159" s="2">
        <v>45689</v>
      </c>
      <c r="C159" t="s">
        <v>20</v>
      </c>
      <c r="D159" t="s">
        <v>28</v>
      </c>
      <c r="E159">
        <v>41863.08</v>
      </c>
      <c r="F159">
        <v>5400</v>
      </c>
      <c r="G159">
        <v>0.114</v>
      </c>
      <c r="H159">
        <v>11</v>
      </c>
      <c r="I159">
        <v>91.6</v>
      </c>
      <c r="J159">
        <v>7.99</v>
      </c>
      <c r="K159">
        <v>0</v>
      </c>
      <c r="L159">
        <v>3</v>
      </c>
      <c r="M159">
        <v>602002.31999999995</v>
      </c>
      <c r="N159">
        <v>110453.28</v>
      </c>
    </row>
    <row r="160" spans="1:14">
      <c r="A160" t="s">
        <v>61</v>
      </c>
      <c r="B160" s="2">
        <v>45717</v>
      </c>
      <c r="C160" t="s">
        <v>20</v>
      </c>
      <c r="D160" t="s">
        <v>28</v>
      </c>
      <c r="E160">
        <v>56918.16</v>
      </c>
      <c r="F160">
        <v>7015</v>
      </c>
      <c r="G160">
        <v>0.158</v>
      </c>
      <c r="H160">
        <v>18</v>
      </c>
      <c r="I160">
        <v>74.2</v>
      </c>
      <c r="J160">
        <v>0.2</v>
      </c>
      <c r="K160">
        <v>0</v>
      </c>
      <c r="L160">
        <v>3.4</v>
      </c>
      <c r="M160">
        <v>724216.07</v>
      </c>
      <c r="N160">
        <v>100627.56</v>
      </c>
    </row>
    <row r="161" spans="1:14">
      <c r="A161" t="s">
        <v>61</v>
      </c>
      <c r="B161" s="2">
        <v>45748</v>
      </c>
      <c r="C161" t="s">
        <v>20</v>
      </c>
      <c r="D161" t="s">
        <v>28</v>
      </c>
      <c r="E161">
        <v>23254.57</v>
      </c>
      <c r="F161">
        <v>3847</v>
      </c>
      <c r="G161">
        <v>0.159</v>
      </c>
      <c r="H161">
        <v>12</v>
      </c>
      <c r="I161">
        <v>93</v>
      </c>
      <c r="J161">
        <v>5.46</v>
      </c>
      <c r="K161">
        <v>0</v>
      </c>
      <c r="L161">
        <v>3.3</v>
      </c>
      <c r="M161">
        <v>620973.03</v>
      </c>
      <c r="N161">
        <v>72303.850000000006</v>
      </c>
    </row>
    <row r="162" spans="1:14">
      <c r="A162" t="s">
        <v>62</v>
      </c>
      <c r="B162" s="2">
        <v>45658</v>
      </c>
      <c r="C162" t="s">
        <v>24</v>
      </c>
      <c r="D162" t="s">
        <v>18</v>
      </c>
      <c r="E162">
        <v>41443.410000000003</v>
      </c>
      <c r="F162">
        <v>7455</v>
      </c>
      <c r="G162">
        <v>0.17499999999999999</v>
      </c>
      <c r="H162">
        <v>16</v>
      </c>
      <c r="I162">
        <v>90.1</v>
      </c>
      <c r="J162">
        <v>4.05</v>
      </c>
      <c r="K162">
        <v>0</v>
      </c>
      <c r="L162">
        <v>4</v>
      </c>
      <c r="M162">
        <v>650480.06000000006</v>
      </c>
      <c r="N162">
        <v>109012.07</v>
      </c>
    </row>
    <row r="163" spans="1:14">
      <c r="A163" t="s">
        <v>62</v>
      </c>
      <c r="B163" s="2">
        <v>45689</v>
      </c>
      <c r="C163" t="s">
        <v>24</v>
      </c>
      <c r="D163" t="s">
        <v>18</v>
      </c>
      <c r="E163">
        <v>48438.85</v>
      </c>
      <c r="F163">
        <v>6992</v>
      </c>
      <c r="G163">
        <v>3.4000000000000002E-2</v>
      </c>
      <c r="H163">
        <v>20</v>
      </c>
      <c r="I163">
        <v>91</v>
      </c>
      <c r="J163">
        <v>4.3600000000000003</v>
      </c>
      <c r="K163">
        <v>0</v>
      </c>
      <c r="L163">
        <v>4.2</v>
      </c>
      <c r="M163">
        <v>778298.88</v>
      </c>
      <c r="N163">
        <v>130076.72</v>
      </c>
    </row>
    <row r="164" spans="1:14">
      <c r="A164" t="s">
        <v>62</v>
      </c>
      <c r="B164" s="2">
        <v>45717</v>
      </c>
      <c r="C164" t="s">
        <v>24</v>
      </c>
      <c r="D164" t="s">
        <v>18</v>
      </c>
      <c r="E164">
        <v>57143.3</v>
      </c>
      <c r="F164">
        <v>8038</v>
      </c>
      <c r="G164">
        <v>0.193</v>
      </c>
      <c r="H164">
        <v>17</v>
      </c>
      <c r="I164">
        <v>72.599999999999994</v>
      </c>
      <c r="J164">
        <v>4.5590445859872624</v>
      </c>
      <c r="K164">
        <v>0</v>
      </c>
      <c r="L164">
        <v>4.2</v>
      </c>
      <c r="M164">
        <v>677096.71</v>
      </c>
      <c r="N164">
        <v>97174.11</v>
      </c>
    </row>
    <row r="165" spans="1:14">
      <c r="A165" t="s">
        <v>62</v>
      </c>
      <c r="B165" s="2">
        <v>45748</v>
      </c>
      <c r="C165" t="s">
        <v>24</v>
      </c>
      <c r="D165" t="s">
        <v>18</v>
      </c>
      <c r="E165">
        <v>66870.62</v>
      </c>
      <c r="F165">
        <v>6055</v>
      </c>
      <c r="G165">
        <v>7.4999999999999997E-2</v>
      </c>
      <c r="H165">
        <v>19</v>
      </c>
      <c r="I165">
        <v>93.8</v>
      </c>
      <c r="J165">
        <v>0.54</v>
      </c>
      <c r="K165">
        <v>0</v>
      </c>
      <c r="L165">
        <v>4.3</v>
      </c>
      <c r="M165">
        <v>692008.64</v>
      </c>
      <c r="N165">
        <v>116337.87</v>
      </c>
    </row>
    <row r="166" spans="1:14">
      <c r="A166" t="s">
        <v>63</v>
      </c>
      <c r="B166" s="2">
        <v>45658</v>
      </c>
      <c r="C166" t="s">
        <v>20</v>
      </c>
      <c r="D166" t="s">
        <v>28</v>
      </c>
      <c r="E166">
        <v>72150.53</v>
      </c>
      <c r="F166">
        <v>9323</v>
      </c>
      <c r="G166">
        <v>0.157</v>
      </c>
      <c r="H166">
        <v>22</v>
      </c>
      <c r="I166">
        <v>82.9</v>
      </c>
      <c r="J166">
        <v>11.37</v>
      </c>
      <c r="K166">
        <v>1</v>
      </c>
      <c r="L166">
        <v>4.3</v>
      </c>
      <c r="M166">
        <v>825797.91</v>
      </c>
      <c r="N166">
        <v>130945.24</v>
      </c>
    </row>
    <row r="167" spans="1:14">
      <c r="A167" t="s">
        <v>63</v>
      </c>
      <c r="B167" s="2">
        <v>45689</v>
      </c>
      <c r="C167" t="s">
        <v>20</v>
      </c>
      <c r="D167" t="s">
        <v>28</v>
      </c>
      <c r="E167">
        <v>35303.300000000003</v>
      </c>
      <c r="F167">
        <v>8789</v>
      </c>
      <c r="G167">
        <v>0.123</v>
      </c>
      <c r="H167">
        <v>22</v>
      </c>
      <c r="I167">
        <v>86.1</v>
      </c>
      <c r="J167">
        <v>9.43</v>
      </c>
      <c r="K167">
        <v>0</v>
      </c>
      <c r="L167">
        <v>4.2</v>
      </c>
      <c r="M167">
        <v>706285.52</v>
      </c>
      <c r="N167">
        <v>138014.72</v>
      </c>
    </row>
    <row r="168" spans="1:14">
      <c r="A168" t="s">
        <v>63</v>
      </c>
      <c r="B168" s="2">
        <v>45717</v>
      </c>
      <c r="C168" t="s">
        <v>20</v>
      </c>
      <c r="D168" t="s">
        <v>28</v>
      </c>
      <c r="E168">
        <v>30301.86</v>
      </c>
      <c r="F168">
        <v>6939</v>
      </c>
      <c r="G168">
        <v>0.09</v>
      </c>
      <c r="H168">
        <v>16</v>
      </c>
      <c r="I168">
        <v>90.3</v>
      </c>
      <c r="J168">
        <v>3.49</v>
      </c>
      <c r="K168">
        <v>0</v>
      </c>
      <c r="L168">
        <v>4</v>
      </c>
      <c r="M168">
        <v>665534.69999999995</v>
      </c>
      <c r="N168">
        <v>113167.73</v>
      </c>
    </row>
    <row r="169" spans="1:14">
      <c r="A169" t="s">
        <v>63</v>
      </c>
      <c r="B169" s="2">
        <v>45748</v>
      </c>
      <c r="C169" t="s">
        <v>20</v>
      </c>
      <c r="D169" t="s">
        <v>28</v>
      </c>
      <c r="E169">
        <v>78432.14</v>
      </c>
      <c r="F169">
        <v>9440</v>
      </c>
      <c r="G169">
        <v>0.126</v>
      </c>
      <c r="H169">
        <v>23</v>
      </c>
      <c r="I169">
        <v>89.2</v>
      </c>
      <c r="J169">
        <v>7.86</v>
      </c>
      <c r="K169">
        <v>0</v>
      </c>
      <c r="L169">
        <v>4.0999999999999996</v>
      </c>
      <c r="M169">
        <v>820729.29</v>
      </c>
      <c r="N169">
        <v>159325.47</v>
      </c>
    </row>
    <row r="170" spans="1:14">
      <c r="A170" t="s">
        <v>64</v>
      </c>
      <c r="B170" s="2">
        <v>45658</v>
      </c>
      <c r="C170" t="s">
        <v>15</v>
      </c>
      <c r="D170" t="s">
        <v>16</v>
      </c>
      <c r="E170">
        <v>62059.18</v>
      </c>
      <c r="F170">
        <v>9374</v>
      </c>
      <c r="G170">
        <v>0.13600000000000001</v>
      </c>
      <c r="H170">
        <v>25</v>
      </c>
      <c r="I170">
        <v>87.1</v>
      </c>
      <c r="J170">
        <v>12.55</v>
      </c>
      <c r="K170">
        <v>0</v>
      </c>
      <c r="L170">
        <v>4.9000000000000004</v>
      </c>
      <c r="M170">
        <v>739831.73</v>
      </c>
      <c r="N170">
        <v>119490.21</v>
      </c>
    </row>
    <row r="171" spans="1:14">
      <c r="A171" t="s">
        <v>64</v>
      </c>
      <c r="B171" s="2">
        <v>45689</v>
      </c>
      <c r="C171" t="s">
        <v>15</v>
      </c>
      <c r="D171" t="s">
        <v>16</v>
      </c>
      <c r="E171">
        <v>32834.480000000003</v>
      </c>
      <c r="F171">
        <v>7576</v>
      </c>
      <c r="G171">
        <v>9.9000000000000005E-2</v>
      </c>
      <c r="H171">
        <v>15</v>
      </c>
      <c r="I171">
        <v>84.1</v>
      </c>
      <c r="J171">
        <v>3.48</v>
      </c>
      <c r="K171">
        <v>0</v>
      </c>
      <c r="L171">
        <v>5</v>
      </c>
      <c r="M171">
        <v>593637.14</v>
      </c>
      <c r="N171">
        <v>106648.14</v>
      </c>
    </row>
    <row r="172" spans="1:14">
      <c r="A172" t="s">
        <v>64</v>
      </c>
      <c r="B172" s="2">
        <v>45717</v>
      </c>
      <c r="C172" t="s">
        <v>15</v>
      </c>
      <c r="D172" t="s">
        <v>16</v>
      </c>
      <c r="E172">
        <v>50825.08</v>
      </c>
      <c r="F172">
        <v>8949</v>
      </c>
      <c r="G172">
        <v>0.157</v>
      </c>
      <c r="H172">
        <v>21</v>
      </c>
      <c r="I172">
        <v>84.7</v>
      </c>
      <c r="J172">
        <v>7.73</v>
      </c>
      <c r="K172">
        <v>0</v>
      </c>
      <c r="L172">
        <v>4.9000000000000004</v>
      </c>
      <c r="M172">
        <v>769702.76</v>
      </c>
      <c r="N172">
        <v>158697</v>
      </c>
    </row>
    <row r="173" spans="1:14">
      <c r="A173" t="s">
        <v>64</v>
      </c>
      <c r="B173" s="2">
        <v>45748</v>
      </c>
      <c r="C173" t="s">
        <v>15</v>
      </c>
      <c r="D173" t="s">
        <v>16</v>
      </c>
      <c r="E173">
        <v>36606.51</v>
      </c>
      <c r="F173">
        <v>7671</v>
      </c>
      <c r="G173">
        <v>0.11799999999999999</v>
      </c>
      <c r="H173">
        <v>18</v>
      </c>
      <c r="I173">
        <v>89.8</v>
      </c>
      <c r="J173">
        <v>0.25</v>
      </c>
      <c r="K173">
        <v>0</v>
      </c>
      <c r="L173">
        <v>4.4000000000000004</v>
      </c>
      <c r="M173">
        <v>679731.57</v>
      </c>
      <c r="N173">
        <v>121546.42</v>
      </c>
    </row>
    <row r="174" spans="1:14">
      <c r="A174" t="s">
        <v>65</v>
      </c>
      <c r="B174" s="2">
        <v>45658</v>
      </c>
      <c r="C174" t="s">
        <v>15</v>
      </c>
      <c r="D174" t="s">
        <v>16</v>
      </c>
      <c r="E174">
        <v>65237.79</v>
      </c>
      <c r="F174">
        <v>8741</v>
      </c>
      <c r="G174">
        <v>0.157</v>
      </c>
      <c r="H174">
        <v>20</v>
      </c>
      <c r="I174">
        <v>94.4</v>
      </c>
      <c r="J174">
        <v>6.43</v>
      </c>
      <c r="K174">
        <v>0</v>
      </c>
      <c r="L174">
        <v>3.3</v>
      </c>
      <c r="M174">
        <v>780344.18</v>
      </c>
      <c r="N174">
        <v>118239.09</v>
      </c>
    </row>
    <row r="175" spans="1:14">
      <c r="A175" t="s">
        <v>65</v>
      </c>
      <c r="B175" s="2">
        <v>45689</v>
      </c>
      <c r="C175" t="s">
        <v>15</v>
      </c>
      <c r="D175" t="s">
        <v>16</v>
      </c>
      <c r="E175">
        <v>43645.98</v>
      </c>
      <c r="F175">
        <v>9480</v>
      </c>
      <c r="G175">
        <v>0.109</v>
      </c>
      <c r="H175">
        <v>22</v>
      </c>
      <c r="I175">
        <v>89</v>
      </c>
      <c r="J175">
        <v>2.11</v>
      </c>
      <c r="K175">
        <v>0</v>
      </c>
      <c r="L175">
        <v>3.1</v>
      </c>
      <c r="M175">
        <v>721364.11</v>
      </c>
      <c r="N175">
        <v>147272.81</v>
      </c>
    </row>
    <row r="176" spans="1:14">
      <c r="A176" t="s">
        <v>65</v>
      </c>
      <c r="B176" s="2">
        <v>45717</v>
      </c>
      <c r="C176" t="s">
        <v>15</v>
      </c>
      <c r="D176" t="s">
        <v>16</v>
      </c>
      <c r="E176">
        <v>68040.149999999994</v>
      </c>
      <c r="F176">
        <v>9826</v>
      </c>
      <c r="G176">
        <v>0.125</v>
      </c>
      <c r="H176">
        <v>20</v>
      </c>
      <c r="I176">
        <v>83.9</v>
      </c>
      <c r="J176">
        <v>9.1199999999999992</v>
      </c>
      <c r="K176">
        <v>0</v>
      </c>
      <c r="L176">
        <v>3.6</v>
      </c>
      <c r="M176">
        <v>758138.29</v>
      </c>
      <c r="N176">
        <v>132975.26</v>
      </c>
    </row>
    <row r="177" spans="1:14">
      <c r="A177" t="s">
        <v>65</v>
      </c>
      <c r="B177" s="2">
        <v>45748</v>
      </c>
      <c r="C177" t="s">
        <v>15</v>
      </c>
      <c r="D177" t="s">
        <v>16</v>
      </c>
      <c r="E177">
        <v>63043.94</v>
      </c>
      <c r="F177">
        <v>10402</v>
      </c>
      <c r="G177">
        <v>0.159</v>
      </c>
      <c r="H177">
        <v>23</v>
      </c>
      <c r="I177">
        <v>93.9</v>
      </c>
      <c r="J177">
        <v>2.71</v>
      </c>
      <c r="K177">
        <v>0</v>
      </c>
      <c r="L177">
        <v>3.1</v>
      </c>
      <c r="M177">
        <v>804264</v>
      </c>
      <c r="N177">
        <v>167117.91</v>
      </c>
    </row>
    <row r="178" spans="1:14">
      <c r="A178" t="s">
        <v>66</v>
      </c>
      <c r="B178" s="2">
        <v>45658</v>
      </c>
      <c r="C178" t="s">
        <v>27</v>
      </c>
      <c r="D178" t="s">
        <v>21</v>
      </c>
      <c r="E178">
        <v>67494.09</v>
      </c>
      <c r="F178">
        <v>12361</v>
      </c>
      <c r="G178">
        <v>4.5999999999999999E-2</v>
      </c>
      <c r="H178">
        <v>24</v>
      </c>
      <c r="I178">
        <v>76.599999999999994</v>
      </c>
      <c r="J178">
        <v>3.65</v>
      </c>
      <c r="K178">
        <v>1</v>
      </c>
      <c r="L178">
        <v>3.7</v>
      </c>
      <c r="M178">
        <v>887537.75</v>
      </c>
      <c r="N178">
        <v>160362.92000000001</v>
      </c>
    </row>
    <row r="179" spans="1:14">
      <c r="A179" t="s">
        <v>66</v>
      </c>
      <c r="B179" s="2">
        <v>45689</v>
      </c>
      <c r="C179" t="s">
        <v>27</v>
      </c>
      <c r="D179" t="s">
        <v>21</v>
      </c>
      <c r="E179">
        <v>29389.32</v>
      </c>
      <c r="F179">
        <v>7925</v>
      </c>
      <c r="G179">
        <v>0.17699999999999999</v>
      </c>
      <c r="H179">
        <v>21</v>
      </c>
      <c r="I179">
        <v>90.9</v>
      </c>
      <c r="J179">
        <v>7.86</v>
      </c>
      <c r="K179">
        <v>0</v>
      </c>
      <c r="L179">
        <v>4</v>
      </c>
      <c r="M179">
        <v>783582</v>
      </c>
      <c r="N179">
        <v>130670.93</v>
      </c>
    </row>
    <row r="180" spans="1:14">
      <c r="A180" t="s">
        <v>66</v>
      </c>
      <c r="B180" s="2">
        <v>45717</v>
      </c>
      <c r="C180" t="s">
        <v>27</v>
      </c>
      <c r="D180" t="s">
        <v>21</v>
      </c>
      <c r="E180">
        <v>40535.089999999997</v>
      </c>
      <c r="F180">
        <v>8870</v>
      </c>
      <c r="G180">
        <v>4.1000000000000002E-2</v>
      </c>
      <c r="H180">
        <v>21</v>
      </c>
      <c r="I180">
        <v>86.6</v>
      </c>
      <c r="J180">
        <v>0.3</v>
      </c>
      <c r="K180">
        <v>0</v>
      </c>
      <c r="L180">
        <v>4.0999999999999996</v>
      </c>
      <c r="M180">
        <v>781955.52</v>
      </c>
      <c r="N180">
        <v>152578.71</v>
      </c>
    </row>
    <row r="181" spans="1:14">
      <c r="A181" t="s">
        <v>66</v>
      </c>
      <c r="B181" s="2">
        <v>45748</v>
      </c>
      <c r="C181" t="s">
        <v>27</v>
      </c>
      <c r="D181" t="s">
        <v>21</v>
      </c>
      <c r="E181">
        <v>74881.56</v>
      </c>
      <c r="F181">
        <v>9999</v>
      </c>
      <c r="G181">
        <v>1.2999999999999999E-2</v>
      </c>
      <c r="H181">
        <v>20</v>
      </c>
      <c r="I181">
        <v>89.6</v>
      </c>
      <c r="J181">
        <v>8.44</v>
      </c>
      <c r="K181">
        <v>0</v>
      </c>
      <c r="L181">
        <v>4.0999999999999996</v>
      </c>
      <c r="M181">
        <v>898031.04</v>
      </c>
      <c r="N181">
        <v>138666.5</v>
      </c>
    </row>
    <row r="182" spans="1:14">
      <c r="A182" t="s">
        <v>67</v>
      </c>
      <c r="B182" s="2">
        <v>45658</v>
      </c>
      <c r="C182" t="s">
        <v>27</v>
      </c>
      <c r="D182" t="s">
        <v>16</v>
      </c>
      <c r="E182">
        <v>68491.11</v>
      </c>
      <c r="F182">
        <v>11154</v>
      </c>
      <c r="G182">
        <v>1E-3</v>
      </c>
      <c r="H182">
        <v>24</v>
      </c>
      <c r="I182">
        <v>89.4</v>
      </c>
      <c r="J182">
        <v>5.27</v>
      </c>
      <c r="K182">
        <v>1</v>
      </c>
      <c r="L182">
        <v>3.9</v>
      </c>
      <c r="M182">
        <v>855341.28</v>
      </c>
      <c r="N182">
        <v>175823.8</v>
      </c>
    </row>
    <row r="183" spans="1:14">
      <c r="A183" t="s">
        <v>67</v>
      </c>
      <c r="B183" s="2">
        <v>45689</v>
      </c>
      <c r="C183" t="s">
        <v>27</v>
      </c>
      <c r="D183" t="s">
        <v>16</v>
      </c>
      <c r="E183">
        <v>45209.25</v>
      </c>
      <c r="F183">
        <v>9287</v>
      </c>
      <c r="G183">
        <v>0.14099999999999999</v>
      </c>
      <c r="H183">
        <v>22</v>
      </c>
      <c r="I183">
        <v>86.4</v>
      </c>
      <c r="J183">
        <v>13.22</v>
      </c>
      <c r="K183">
        <v>0</v>
      </c>
      <c r="L183">
        <v>3.6</v>
      </c>
      <c r="M183">
        <v>751393.88</v>
      </c>
      <c r="N183">
        <v>91480.320000000007</v>
      </c>
    </row>
    <row r="184" spans="1:14">
      <c r="A184" t="s">
        <v>67</v>
      </c>
      <c r="B184" s="2">
        <v>45717</v>
      </c>
      <c r="C184" t="s">
        <v>27</v>
      </c>
      <c r="D184" t="s">
        <v>16</v>
      </c>
      <c r="E184">
        <v>63010.23</v>
      </c>
      <c r="F184">
        <v>9812</v>
      </c>
      <c r="G184">
        <v>0.113</v>
      </c>
      <c r="H184">
        <v>24</v>
      </c>
      <c r="I184">
        <v>76.8</v>
      </c>
      <c r="J184">
        <v>1.02</v>
      </c>
      <c r="K184">
        <v>1</v>
      </c>
      <c r="L184">
        <v>3.8</v>
      </c>
      <c r="M184">
        <v>761077.08</v>
      </c>
      <c r="N184">
        <v>113605.93</v>
      </c>
    </row>
    <row r="185" spans="1:14">
      <c r="A185" t="s">
        <v>67</v>
      </c>
      <c r="B185" s="2">
        <v>45748</v>
      </c>
      <c r="C185" t="s">
        <v>27</v>
      </c>
      <c r="D185" t="s">
        <v>16</v>
      </c>
      <c r="E185">
        <v>57948.88</v>
      </c>
      <c r="F185">
        <v>10741</v>
      </c>
      <c r="G185">
        <v>7.0000000000000007E-2</v>
      </c>
      <c r="H185">
        <v>25</v>
      </c>
      <c r="I185">
        <v>90.1</v>
      </c>
      <c r="J185">
        <v>4.03</v>
      </c>
      <c r="K185">
        <v>0</v>
      </c>
      <c r="L185">
        <v>3.1</v>
      </c>
      <c r="M185">
        <v>819660.59</v>
      </c>
      <c r="N185">
        <v>172699.95</v>
      </c>
    </row>
    <row r="186" spans="1:14">
      <c r="A186" t="s">
        <v>68</v>
      </c>
      <c r="B186" s="2">
        <v>45658</v>
      </c>
      <c r="C186" t="s">
        <v>20</v>
      </c>
      <c r="D186" t="s">
        <v>18</v>
      </c>
      <c r="E186">
        <v>71941.62</v>
      </c>
      <c r="F186">
        <v>6084</v>
      </c>
      <c r="G186">
        <v>7.1999999999999995E-2</v>
      </c>
      <c r="H186">
        <v>13</v>
      </c>
      <c r="I186">
        <v>93.7</v>
      </c>
      <c r="J186">
        <v>2.34</v>
      </c>
      <c r="K186">
        <v>0</v>
      </c>
      <c r="L186">
        <v>4.4000000000000004</v>
      </c>
      <c r="M186">
        <v>681855.56</v>
      </c>
      <c r="N186">
        <v>117645.61</v>
      </c>
    </row>
    <row r="187" spans="1:14">
      <c r="A187" t="s">
        <v>68</v>
      </c>
      <c r="B187" s="2">
        <v>45689</v>
      </c>
      <c r="C187" t="s">
        <v>20</v>
      </c>
      <c r="D187" t="s">
        <v>18</v>
      </c>
      <c r="E187">
        <v>57147.88</v>
      </c>
      <c r="F187">
        <v>5252</v>
      </c>
      <c r="G187">
        <v>0.161</v>
      </c>
      <c r="H187">
        <v>15</v>
      </c>
      <c r="I187">
        <v>95.5</v>
      </c>
      <c r="J187">
        <v>8.51</v>
      </c>
      <c r="K187">
        <v>0</v>
      </c>
      <c r="L187">
        <v>4.4000000000000004</v>
      </c>
      <c r="M187">
        <v>678311.17</v>
      </c>
      <c r="N187">
        <v>132029.76000000001</v>
      </c>
    </row>
    <row r="188" spans="1:14">
      <c r="A188" t="s">
        <v>68</v>
      </c>
      <c r="B188" s="2">
        <v>45717</v>
      </c>
      <c r="C188" t="s">
        <v>20</v>
      </c>
      <c r="D188" t="s">
        <v>18</v>
      </c>
      <c r="E188">
        <v>48031.74</v>
      </c>
      <c r="F188">
        <v>6516</v>
      </c>
      <c r="G188">
        <v>6.7000000000000004E-2</v>
      </c>
      <c r="H188">
        <v>14</v>
      </c>
      <c r="I188">
        <v>99</v>
      </c>
      <c r="J188">
        <v>0.48</v>
      </c>
      <c r="K188">
        <v>1</v>
      </c>
      <c r="L188">
        <v>4.3</v>
      </c>
      <c r="M188">
        <v>765906.95</v>
      </c>
      <c r="N188">
        <v>114005.9</v>
      </c>
    </row>
    <row r="189" spans="1:14">
      <c r="A189" t="s">
        <v>68</v>
      </c>
      <c r="B189" s="2">
        <v>45748</v>
      </c>
      <c r="C189" t="s">
        <v>20</v>
      </c>
      <c r="D189" t="s">
        <v>18</v>
      </c>
      <c r="E189">
        <v>72784.800000000003</v>
      </c>
      <c r="F189">
        <v>7932</v>
      </c>
      <c r="G189">
        <v>9.4E-2</v>
      </c>
      <c r="H189">
        <v>20</v>
      </c>
      <c r="I189">
        <v>74.900000000000006</v>
      </c>
      <c r="J189">
        <v>13.62</v>
      </c>
      <c r="K189">
        <v>0</v>
      </c>
      <c r="L189">
        <v>4.2</v>
      </c>
      <c r="M189">
        <v>712546.38</v>
      </c>
      <c r="N189">
        <v>101480.04</v>
      </c>
    </row>
    <row r="190" spans="1:14">
      <c r="A190" t="s">
        <v>69</v>
      </c>
      <c r="B190" s="2">
        <v>45658</v>
      </c>
      <c r="C190" t="s">
        <v>15</v>
      </c>
      <c r="D190" t="s">
        <v>18</v>
      </c>
      <c r="E190">
        <v>71641.899999999994</v>
      </c>
      <c r="F190">
        <v>3506</v>
      </c>
      <c r="G190">
        <v>0</v>
      </c>
      <c r="H190">
        <v>11</v>
      </c>
      <c r="I190">
        <v>86.4</v>
      </c>
      <c r="J190">
        <v>7.77</v>
      </c>
      <c r="K190">
        <v>0</v>
      </c>
      <c r="L190">
        <v>4.0999999999999996</v>
      </c>
      <c r="M190">
        <v>625993.82999999996</v>
      </c>
      <c r="N190">
        <v>98960.320000000007</v>
      </c>
    </row>
    <row r="191" spans="1:14">
      <c r="A191" t="s">
        <v>69</v>
      </c>
      <c r="B191" s="2">
        <v>45689</v>
      </c>
      <c r="C191" t="s">
        <v>15</v>
      </c>
      <c r="D191" t="s">
        <v>18</v>
      </c>
      <c r="E191">
        <v>55788.61</v>
      </c>
      <c r="F191">
        <v>2312</v>
      </c>
      <c r="G191">
        <v>5.8000000000000003E-2</v>
      </c>
      <c r="H191">
        <v>10</v>
      </c>
      <c r="I191">
        <v>91.3</v>
      </c>
      <c r="J191">
        <v>1.99</v>
      </c>
      <c r="K191">
        <v>0</v>
      </c>
      <c r="L191">
        <v>3.8</v>
      </c>
      <c r="M191">
        <v>550962.93000000005</v>
      </c>
      <c r="N191">
        <v>97144.58</v>
      </c>
    </row>
    <row r="192" spans="1:14">
      <c r="A192" t="s">
        <v>69</v>
      </c>
      <c r="B192" s="2">
        <v>45717</v>
      </c>
      <c r="C192" t="s">
        <v>15</v>
      </c>
      <c r="D192" t="s">
        <v>18</v>
      </c>
      <c r="E192">
        <v>37705.879999999997</v>
      </c>
      <c r="F192">
        <v>1268</v>
      </c>
      <c r="G192">
        <v>0.25900000000000001</v>
      </c>
      <c r="H192">
        <v>9</v>
      </c>
      <c r="I192">
        <v>84.1</v>
      </c>
      <c r="J192">
        <v>4.7699999999999996</v>
      </c>
      <c r="K192">
        <v>0</v>
      </c>
      <c r="L192">
        <v>3.8</v>
      </c>
      <c r="M192">
        <v>443275.59</v>
      </c>
      <c r="N192">
        <v>53544.36</v>
      </c>
    </row>
    <row r="193" spans="1:14">
      <c r="A193" t="s">
        <v>69</v>
      </c>
      <c r="B193" s="2">
        <v>45748</v>
      </c>
      <c r="C193" t="s">
        <v>15</v>
      </c>
      <c r="D193" t="s">
        <v>18</v>
      </c>
      <c r="E193">
        <v>54966.18</v>
      </c>
      <c r="F193">
        <v>4423</v>
      </c>
      <c r="G193">
        <v>0.186</v>
      </c>
      <c r="H193">
        <v>13</v>
      </c>
      <c r="I193">
        <v>88.7</v>
      </c>
      <c r="J193">
        <v>0.2</v>
      </c>
      <c r="K193">
        <v>0</v>
      </c>
      <c r="L193">
        <v>4.4000000000000004</v>
      </c>
      <c r="M193">
        <v>554012.06999999995</v>
      </c>
      <c r="N193">
        <v>81101.62</v>
      </c>
    </row>
    <row r="194" spans="1:14">
      <c r="A194" t="s">
        <v>70</v>
      </c>
      <c r="B194" s="2">
        <v>45658</v>
      </c>
      <c r="C194" t="s">
        <v>27</v>
      </c>
      <c r="D194" t="s">
        <v>16</v>
      </c>
      <c r="E194">
        <v>81796.740000000005</v>
      </c>
      <c r="F194">
        <v>6177</v>
      </c>
      <c r="G194">
        <v>0.16400000000000001</v>
      </c>
      <c r="H194">
        <v>14</v>
      </c>
      <c r="I194">
        <v>87.9</v>
      </c>
      <c r="J194">
        <v>0.53</v>
      </c>
      <c r="K194">
        <v>0</v>
      </c>
      <c r="L194">
        <v>3.2</v>
      </c>
      <c r="M194">
        <v>643428.85</v>
      </c>
      <c r="N194">
        <v>94477.63</v>
      </c>
    </row>
    <row r="195" spans="1:14">
      <c r="A195" t="s">
        <v>70</v>
      </c>
      <c r="B195" s="2">
        <v>45689</v>
      </c>
      <c r="C195" t="s">
        <v>27</v>
      </c>
      <c r="D195" t="s">
        <v>16</v>
      </c>
      <c r="E195">
        <v>51133.43</v>
      </c>
      <c r="F195">
        <v>5150</v>
      </c>
      <c r="G195">
        <v>0.15</v>
      </c>
      <c r="H195">
        <v>12</v>
      </c>
      <c r="I195">
        <v>88.5</v>
      </c>
      <c r="J195">
        <v>1.54</v>
      </c>
      <c r="K195">
        <v>0</v>
      </c>
      <c r="L195">
        <v>3.2</v>
      </c>
      <c r="M195">
        <v>611924.27</v>
      </c>
      <c r="N195">
        <v>115488.75</v>
      </c>
    </row>
    <row r="196" spans="1:14">
      <c r="A196" t="s">
        <v>70</v>
      </c>
      <c r="B196" s="2">
        <v>45717</v>
      </c>
      <c r="C196" t="s">
        <v>27</v>
      </c>
      <c r="D196" t="s">
        <v>16</v>
      </c>
      <c r="E196">
        <v>40220.18</v>
      </c>
      <c r="F196">
        <v>3783</v>
      </c>
      <c r="G196">
        <v>8.8999999999999996E-2</v>
      </c>
      <c r="H196">
        <v>14</v>
      </c>
      <c r="I196">
        <v>86.6</v>
      </c>
      <c r="J196">
        <v>3.63</v>
      </c>
      <c r="K196">
        <v>0</v>
      </c>
      <c r="L196">
        <v>3.7</v>
      </c>
      <c r="M196">
        <v>559422.02</v>
      </c>
      <c r="N196">
        <v>73528.740000000005</v>
      </c>
    </row>
    <row r="197" spans="1:14">
      <c r="A197" t="s">
        <v>70</v>
      </c>
      <c r="B197" s="2">
        <v>45748</v>
      </c>
      <c r="C197" t="s">
        <v>27</v>
      </c>
      <c r="D197" t="s">
        <v>16</v>
      </c>
      <c r="E197">
        <v>41657.64</v>
      </c>
      <c r="F197">
        <v>3135</v>
      </c>
      <c r="G197">
        <v>0.22900000000000001</v>
      </c>
      <c r="H197">
        <v>7</v>
      </c>
      <c r="I197">
        <v>85.4</v>
      </c>
      <c r="J197">
        <v>13.48</v>
      </c>
      <c r="K197">
        <v>0</v>
      </c>
      <c r="L197">
        <v>3.9246794871794872</v>
      </c>
      <c r="M197">
        <v>449465.06</v>
      </c>
      <c r="N197">
        <v>65694.78</v>
      </c>
    </row>
    <row r="198" spans="1:14">
      <c r="A198" t="s">
        <v>71</v>
      </c>
      <c r="B198" s="2">
        <v>45658</v>
      </c>
      <c r="C198" t="s">
        <v>20</v>
      </c>
      <c r="D198" t="s">
        <v>16</v>
      </c>
      <c r="E198">
        <v>71851.45</v>
      </c>
      <c r="F198">
        <v>4970</v>
      </c>
      <c r="G198">
        <v>9.8000000000000004E-2</v>
      </c>
      <c r="H198">
        <v>11</v>
      </c>
      <c r="I198">
        <v>89.6</v>
      </c>
      <c r="J198">
        <v>0.2</v>
      </c>
      <c r="K198">
        <v>0</v>
      </c>
      <c r="L198">
        <v>4.2</v>
      </c>
      <c r="M198">
        <v>691447.43</v>
      </c>
      <c r="N198">
        <v>114077.69</v>
      </c>
    </row>
    <row r="199" spans="1:14">
      <c r="A199" t="s">
        <v>71</v>
      </c>
      <c r="B199" s="2">
        <v>45689</v>
      </c>
      <c r="C199" t="s">
        <v>20</v>
      </c>
      <c r="D199" t="s">
        <v>16</v>
      </c>
      <c r="E199">
        <v>54002.83</v>
      </c>
      <c r="F199">
        <v>4366</v>
      </c>
      <c r="G199">
        <v>2.7E-2</v>
      </c>
      <c r="H199">
        <v>15</v>
      </c>
      <c r="I199">
        <v>90.6</v>
      </c>
      <c r="J199">
        <v>12.82</v>
      </c>
      <c r="K199">
        <v>0</v>
      </c>
      <c r="L199">
        <v>4.5999999999999996</v>
      </c>
      <c r="M199">
        <v>574066.61</v>
      </c>
      <c r="N199">
        <v>124674.67</v>
      </c>
    </row>
    <row r="200" spans="1:14">
      <c r="A200" t="s">
        <v>71</v>
      </c>
      <c r="B200" s="2">
        <v>45717</v>
      </c>
      <c r="C200" t="s">
        <v>20</v>
      </c>
      <c r="D200" t="s">
        <v>16</v>
      </c>
      <c r="E200">
        <v>54479.33</v>
      </c>
      <c r="F200">
        <v>5012</v>
      </c>
      <c r="G200">
        <v>0.28399999999999997</v>
      </c>
      <c r="H200">
        <v>13</v>
      </c>
      <c r="I200">
        <v>86</v>
      </c>
      <c r="J200">
        <v>2.2400000000000002</v>
      </c>
      <c r="K200">
        <v>1</v>
      </c>
      <c r="L200">
        <v>4.3</v>
      </c>
      <c r="M200">
        <v>578949.84</v>
      </c>
      <c r="N200">
        <v>80253.649999999994</v>
      </c>
    </row>
    <row r="201" spans="1:14">
      <c r="A201" t="s">
        <v>71</v>
      </c>
      <c r="B201" s="2">
        <v>45748</v>
      </c>
      <c r="C201" t="s">
        <v>20</v>
      </c>
      <c r="D201" t="s">
        <v>16</v>
      </c>
      <c r="E201">
        <v>61391.8</v>
      </c>
      <c r="F201">
        <v>5575</v>
      </c>
      <c r="G201">
        <v>0.189</v>
      </c>
      <c r="H201">
        <v>18</v>
      </c>
      <c r="I201">
        <v>90</v>
      </c>
      <c r="J201">
        <v>1.8</v>
      </c>
      <c r="K201">
        <v>0</v>
      </c>
      <c r="L201">
        <v>4.8</v>
      </c>
      <c r="M201">
        <v>735786.64</v>
      </c>
      <c r="N201">
        <v>126540.66</v>
      </c>
    </row>
    <row r="202" spans="1:14">
      <c r="A202" t="s">
        <v>72</v>
      </c>
      <c r="B202" s="2">
        <v>45658</v>
      </c>
      <c r="C202" t="s">
        <v>15</v>
      </c>
      <c r="D202" t="s">
        <v>21</v>
      </c>
      <c r="E202">
        <v>22312.93</v>
      </c>
      <c r="F202">
        <v>5955</v>
      </c>
      <c r="G202">
        <v>0.123</v>
      </c>
      <c r="H202">
        <v>13</v>
      </c>
      <c r="I202">
        <v>84.2</v>
      </c>
      <c r="J202">
        <v>0.41</v>
      </c>
      <c r="K202">
        <v>1</v>
      </c>
      <c r="L202">
        <v>4.5999999999999996</v>
      </c>
      <c r="M202">
        <v>598904.9</v>
      </c>
      <c r="N202">
        <v>72861</v>
      </c>
    </row>
    <row r="203" spans="1:14">
      <c r="A203" t="s">
        <v>72</v>
      </c>
      <c r="B203" s="2">
        <v>45689</v>
      </c>
      <c r="C203" t="s">
        <v>15</v>
      </c>
      <c r="D203" t="s">
        <v>21</v>
      </c>
      <c r="E203">
        <v>78111.97</v>
      </c>
      <c r="F203">
        <v>6389</v>
      </c>
      <c r="G203">
        <v>0.15</v>
      </c>
      <c r="H203">
        <v>13</v>
      </c>
      <c r="I203">
        <v>83.9</v>
      </c>
      <c r="J203">
        <v>3.05</v>
      </c>
      <c r="K203">
        <v>0</v>
      </c>
      <c r="L203">
        <v>4.8</v>
      </c>
      <c r="M203">
        <v>787715.51</v>
      </c>
      <c r="N203">
        <v>128969.62</v>
      </c>
    </row>
    <row r="204" spans="1:14">
      <c r="A204" t="s">
        <v>72</v>
      </c>
      <c r="B204" s="2">
        <v>45717</v>
      </c>
      <c r="C204" t="s">
        <v>15</v>
      </c>
      <c r="D204" t="s">
        <v>21</v>
      </c>
      <c r="E204">
        <v>35203.230000000003</v>
      </c>
      <c r="F204">
        <v>6896</v>
      </c>
      <c r="G204">
        <v>3.2000000000000001E-2</v>
      </c>
      <c r="H204">
        <v>14</v>
      </c>
      <c r="I204">
        <v>80.8</v>
      </c>
      <c r="J204">
        <v>8.44</v>
      </c>
      <c r="K204">
        <v>1</v>
      </c>
      <c r="L204">
        <v>5</v>
      </c>
      <c r="M204">
        <v>607084.92000000004</v>
      </c>
      <c r="N204">
        <v>98558.49</v>
      </c>
    </row>
    <row r="205" spans="1:14">
      <c r="A205" t="s">
        <v>72</v>
      </c>
      <c r="B205" s="2">
        <v>45748</v>
      </c>
      <c r="C205" t="s">
        <v>15</v>
      </c>
      <c r="D205" t="s">
        <v>21</v>
      </c>
      <c r="E205">
        <v>64104.28</v>
      </c>
      <c r="F205">
        <v>6015</v>
      </c>
      <c r="G205">
        <v>0.127</v>
      </c>
      <c r="H205">
        <v>15</v>
      </c>
      <c r="I205">
        <v>88.7</v>
      </c>
      <c r="J205">
        <v>0.78</v>
      </c>
      <c r="K205">
        <v>0</v>
      </c>
      <c r="L205">
        <v>4</v>
      </c>
      <c r="M205">
        <v>650795.49</v>
      </c>
      <c r="N205">
        <v>103035.89</v>
      </c>
    </row>
    <row r="206" spans="1:14">
      <c r="A206" t="s">
        <v>73</v>
      </c>
      <c r="B206" s="2">
        <v>45658</v>
      </c>
      <c r="C206" t="s">
        <v>15</v>
      </c>
      <c r="D206" t="s">
        <v>28</v>
      </c>
      <c r="E206">
        <v>92090.14</v>
      </c>
      <c r="F206">
        <v>9476</v>
      </c>
      <c r="G206">
        <v>7.0000000000000007E-2</v>
      </c>
      <c r="H206">
        <v>24</v>
      </c>
      <c r="I206">
        <v>94.3</v>
      </c>
      <c r="J206">
        <v>0.87</v>
      </c>
      <c r="K206">
        <v>0</v>
      </c>
      <c r="L206">
        <v>3.7</v>
      </c>
      <c r="M206">
        <v>825060.52</v>
      </c>
      <c r="N206">
        <v>143613.15</v>
      </c>
    </row>
    <row r="207" spans="1:14">
      <c r="A207" t="s">
        <v>73</v>
      </c>
      <c r="B207" s="2">
        <v>45689</v>
      </c>
      <c r="C207" t="s">
        <v>15</v>
      </c>
      <c r="D207" t="s">
        <v>28</v>
      </c>
      <c r="E207">
        <v>54300.87</v>
      </c>
      <c r="F207">
        <v>7875</v>
      </c>
      <c r="G207">
        <v>0.107</v>
      </c>
      <c r="H207">
        <v>19</v>
      </c>
      <c r="I207">
        <v>94.1</v>
      </c>
      <c r="J207">
        <v>0.95</v>
      </c>
      <c r="K207">
        <v>0</v>
      </c>
      <c r="L207">
        <v>3.7</v>
      </c>
      <c r="M207">
        <v>795464.47</v>
      </c>
      <c r="N207">
        <v>161150.51999999999</v>
      </c>
    </row>
    <row r="208" spans="1:14">
      <c r="A208" t="s">
        <v>73</v>
      </c>
      <c r="B208" s="2">
        <v>45717</v>
      </c>
      <c r="C208" t="s">
        <v>15</v>
      </c>
      <c r="D208" t="s">
        <v>28</v>
      </c>
      <c r="E208">
        <v>37983.35</v>
      </c>
      <c r="F208">
        <v>9283</v>
      </c>
      <c r="G208">
        <v>0.14899999999999999</v>
      </c>
      <c r="H208">
        <v>19</v>
      </c>
      <c r="I208">
        <v>83.2</v>
      </c>
      <c r="J208">
        <v>3.82</v>
      </c>
      <c r="K208">
        <v>0</v>
      </c>
      <c r="L208">
        <v>3.7</v>
      </c>
      <c r="M208">
        <v>671868.59</v>
      </c>
      <c r="N208">
        <v>71003.28</v>
      </c>
    </row>
    <row r="209" spans="1:14">
      <c r="A209" t="s">
        <v>73</v>
      </c>
      <c r="B209" s="2">
        <v>45748</v>
      </c>
      <c r="C209" t="s">
        <v>15</v>
      </c>
      <c r="D209" t="s">
        <v>28</v>
      </c>
      <c r="E209">
        <v>56413.83</v>
      </c>
      <c r="F209">
        <v>8303</v>
      </c>
      <c r="G209">
        <v>0.11600000000000001</v>
      </c>
      <c r="H209">
        <v>18</v>
      </c>
      <c r="I209">
        <v>93.6</v>
      </c>
      <c r="J209">
        <v>2.7</v>
      </c>
      <c r="K209">
        <v>0</v>
      </c>
      <c r="L209">
        <v>3.7</v>
      </c>
      <c r="M209">
        <v>675917.63</v>
      </c>
      <c r="N209">
        <v>112564.75</v>
      </c>
    </row>
    <row r="210" spans="1:14">
      <c r="A210" t="s">
        <v>74</v>
      </c>
      <c r="B210" s="2">
        <v>45658</v>
      </c>
      <c r="C210" t="s">
        <v>15</v>
      </c>
      <c r="D210" t="s">
        <v>18</v>
      </c>
      <c r="E210">
        <v>63457.19</v>
      </c>
      <c r="F210">
        <v>10125</v>
      </c>
      <c r="G210">
        <v>9.7000000000000003E-2</v>
      </c>
      <c r="H210">
        <v>24</v>
      </c>
      <c r="I210">
        <v>87</v>
      </c>
      <c r="J210">
        <v>3.84</v>
      </c>
      <c r="K210">
        <v>1</v>
      </c>
      <c r="L210">
        <v>3.7</v>
      </c>
      <c r="M210">
        <v>810446.53</v>
      </c>
      <c r="N210">
        <v>200575.34</v>
      </c>
    </row>
    <row r="211" spans="1:14">
      <c r="A211" t="s">
        <v>74</v>
      </c>
      <c r="B211" s="2">
        <v>45689</v>
      </c>
      <c r="C211" t="s">
        <v>15</v>
      </c>
      <c r="D211" t="s">
        <v>18</v>
      </c>
      <c r="E211">
        <v>62949.7</v>
      </c>
      <c r="F211">
        <v>9458</v>
      </c>
      <c r="G211">
        <v>0.17100000000000001</v>
      </c>
      <c r="H211">
        <v>19</v>
      </c>
      <c r="I211">
        <v>84.9</v>
      </c>
      <c r="J211">
        <v>5.09</v>
      </c>
      <c r="K211">
        <v>0</v>
      </c>
      <c r="L211">
        <v>3.3</v>
      </c>
      <c r="M211">
        <v>691288.19</v>
      </c>
      <c r="N211">
        <v>159074.14000000001</v>
      </c>
    </row>
    <row r="212" spans="1:14">
      <c r="A212" t="s">
        <v>74</v>
      </c>
      <c r="B212" s="2">
        <v>45717</v>
      </c>
      <c r="C212" t="s">
        <v>15</v>
      </c>
      <c r="D212" t="s">
        <v>18</v>
      </c>
      <c r="E212">
        <v>107970.19</v>
      </c>
      <c r="F212">
        <v>12870</v>
      </c>
      <c r="G212">
        <v>2.9000000000000001E-2</v>
      </c>
      <c r="H212">
        <v>31</v>
      </c>
      <c r="I212">
        <v>91.7</v>
      </c>
      <c r="J212">
        <v>3.82</v>
      </c>
      <c r="K212">
        <v>1</v>
      </c>
      <c r="L212">
        <v>3.7</v>
      </c>
      <c r="M212">
        <v>946833.54</v>
      </c>
      <c r="N212">
        <v>184540.31</v>
      </c>
    </row>
    <row r="213" spans="1:14">
      <c r="A213" t="s">
        <v>74</v>
      </c>
      <c r="B213" s="2">
        <v>45748</v>
      </c>
      <c r="C213" t="s">
        <v>15</v>
      </c>
      <c r="D213" t="s">
        <v>18</v>
      </c>
      <c r="E213">
        <v>49405.75</v>
      </c>
      <c r="F213">
        <v>9752</v>
      </c>
      <c r="G213">
        <v>9.2999999999999999E-2</v>
      </c>
      <c r="H213">
        <v>21</v>
      </c>
      <c r="I213">
        <v>87</v>
      </c>
      <c r="J213">
        <v>12.28</v>
      </c>
      <c r="K213">
        <v>0</v>
      </c>
      <c r="L213">
        <v>4.0999999999999996</v>
      </c>
      <c r="M213">
        <v>761963.23</v>
      </c>
      <c r="N213">
        <v>150113.60999999999</v>
      </c>
    </row>
    <row r="214" spans="1:14">
      <c r="A214" t="s">
        <v>75</v>
      </c>
      <c r="B214" s="2">
        <v>45658</v>
      </c>
      <c r="C214" t="s">
        <v>27</v>
      </c>
      <c r="D214" t="s">
        <v>16</v>
      </c>
      <c r="E214">
        <v>50887.46</v>
      </c>
      <c r="F214">
        <v>9505</v>
      </c>
      <c r="G214">
        <v>9.0999999999999998E-2</v>
      </c>
      <c r="H214">
        <v>25</v>
      </c>
      <c r="I214">
        <v>89.7</v>
      </c>
      <c r="J214">
        <v>2.8</v>
      </c>
      <c r="K214">
        <v>0</v>
      </c>
      <c r="L214">
        <v>4.3</v>
      </c>
      <c r="M214">
        <v>812152.6</v>
      </c>
      <c r="N214">
        <v>138419.43</v>
      </c>
    </row>
    <row r="215" spans="1:14">
      <c r="A215" t="s">
        <v>75</v>
      </c>
      <c r="B215" s="2">
        <v>45689</v>
      </c>
      <c r="C215" t="s">
        <v>27</v>
      </c>
      <c r="D215" t="s">
        <v>16</v>
      </c>
      <c r="E215">
        <v>41819.449999999997</v>
      </c>
      <c r="F215">
        <v>9412</v>
      </c>
      <c r="G215">
        <v>0.15</v>
      </c>
      <c r="H215">
        <v>22</v>
      </c>
      <c r="I215">
        <v>91</v>
      </c>
      <c r="J215">
        <v>3.67</v>
      </c>
      <c r="K215">
        <v>0</v>
      </c>
      <c r="L215">
        <v>4.2</v>
      </c>
      <c r="M215">
        <v>804975.5</v>
      </c>
      <c r="N215">
        <v>140054.5</v>
      </c>
    </row>
    <row r="216" spans="1:14">
      <c r="A216" t="s">
        <v>75</v>
      </c>
      <c r="B216" s="2">
        <v>45717</v>
      </c>
      <c r="C216" t="s">
        <v>27</v>
      </c>
      <c r="D216" t="s">
        <v>16</v>
      </c>
      <c r="E216">
        <v>35296.54</v>
      </c>
      <c r="F216">
        <v>9644</v>
      </c>
      <c r="G216">
        <v>0</v>
      </c>
      <c r="H216">
        <v>22</v>
      </c>
      <c r="I216">
        <v>88</v>
      </c>
      <c r="J216">
        <v>2.81</v>
      </c>
      <c r="K216">
        <v>0</v>
      </c>
      <c r="L216">
        <v>4.7</v>
      </c>
      <c r="M216">
        <v>752321.72</v>
      </c>
      <c r="N216">
        <v>137788.51</v>
      </c>
    </row>
    <row r="217" spans="1:14">
      <c r="A217" t="s">
        <v>75</v>
      </c>
      <c r="B217" s="2">
        <v>45748</v>
      </c>
      <c r="C217" t="s">
        <v>27</v>
      </c>
      <c r="D217" t="s">
        <v>16</v>
      </c>
      <c r="E217">
        <v>47391.09</v>
      </c>
      <c r="F217">
        <v>11224</v>
      </c>
      <c r="G217">
        <v>0.14699999999999999</v>
      </c>
      <c r="H217">
        <v>25</v>
      </c>
      <c r="I217">
        <v>88.4</v>
      </c>
      <c r="J217">
        <v>2.44</v>
      </c>
      <c r="K217">
        <v>0</v>
      </c>
      <c r="L217">
        <v>4.9000000000000004</v>
      </c>
      <c r="M217">
        <v>836908.24</v>
      </c>
      <c r="N217">
        <v>141090.26</v>
      </c>
    </row>
    <row r="218" spans="1:14">
      <c r="A218" t="s">
        <v>76</v>
      </c>
      <c r="B218" s="2">
        <v>45658</v>
      </c>
      <c r="C218" t="s">
        <v>20</v>
      </c>
      <c r="D218" t="s">
        <v>21</v>
      </c>
      <c r="E218">
        <v>69180.539999999994</v>
      </c>
      <c r="F218">
        <v>5394</v>
      </c>
      <c r="G218">
        <v>0.126</v>
      </c>
      <c r="H218">
        <v>12</v>
      </c>
      <c r="I218">
        <v>82.9</v>
      </c>
      <c r="J218">
        <v>3.27</v>
      </c>
      <c r="K218">
        <v>0</v>
      </c>
      <c r="L218">
        <v>3.3</v>
      </c>
      <c r="M218">
        <v>674289.1</v>
      </c>
      <c r="N218">
        <v>117773.79</v>
      </c>
    </row>
    <row r="219" spans="1:14">
      <c r="A219" t="s">
        <v>76</v>
      </c>
      <c r="B219" s="2">
        <v>45689</v>
      </c>
      <c r="C219" t="s">
        <v>20</v>
      </c>
      <c r="D219" t="s">
        <v>21</v>
      </c>
      <c r="E219">
        <v>33987.33</v>
      </c>
      <c r="F219">
        <v>5014</v>
      </c>
      <c r="G219">
        <v>0.246</v>
      </c>
      <c r="H219">
        <v>17</v>
      </c>
      <c r="I219">
        <v>94.3</v>
      </c>
      <c r="J219">
        <v>10.34</v>
      </c>
      <c r="K219">
        <v>0</v>
      </c>
      <c r="L219">
        <v>3.9</v>
      </c>
      <c r="M219">
        <v>622892.42000000004</v>
      </c>
      <c r="N219">
        <v>101032.52</v>
      </c>
    </row>
    <row r="220" spans="1:14">
      <c r="A220" t="s">
        <v>76</v>
      </c>
      <c r="B220" s="2">
        <v>45717</v>
      </c>
      <c r="C220" t="s">
        <v>20</v>
      </c>
      <c r="D220" t="s">
        <v>21</v>
      </c>
      <c r="E220">
        <v>58785.33</v>
      </c>
      <c r="F220">
        <v>4467</v>
      </c>
      <c r="G220">
        <v>0.22900000000000001</v>
      </c>
      <c r="H220">
        <v>14</v>
      </c>
      <c r="I220">
        <v>90.7</v>
      </c>
      <c r="J220">
        <v>1.92</v>
      </c>
      <c r="K220">
        <v>0</v>
      </c>
      <c r="L220">
        <v>3.7</v>
      </c>
      <c r="M220">
        <v>673348.56</v>
      </c>
      <c r="N220">
        <v>69464.59</v>
      </c>
    </row>
    <row r="221" spans="1:14">
      <c r="A221" t="s">
        <v>76</v>
      </c>
      <c r="B221" s="2">
        <v>45748</v>
      </c>
      <c r="C221" t="s">
        <v>20</v>
      </c>
      <c r="D221" t="s">
        <v>21</v>
      </c>
      <c r="E221">
        <v>16451.849999999999</v>
      </c>
      <c r="F221">
        <v>4678</v>
      </c>
      <c r="G221">
        <v>0.13300000000000001</v>
      </c>
      <c r="H221">
        <v>11</v>
      </c>
      <c r="I221">
        <v>95.9</v>
      </c>
      <c r="J221">
        <v>3.1</v>
      </c>
      <c r="K221">
        <v>0</v>
      </c>
      <c r="L221">
        <v>3.9</v>
      </c>
      <c r="M221">
        <v>606278.30000000005</v>
      </c>
      <c r="N221">
        <v>102213.26</v>
      </c>
    </row>
    <row r="222" spans="1:14">
      <c r="A222" t="s">
        <v>77</v>
      </c>
      <c r="B222" s="2">
        <v>45658</v>
      </c>
      <c r="C222" t="s">
        <v>15</v>
      </c>
      <c r="D222" t="s">
        <v>18</v>
      </c>
      <c r="E222">
        <v>53367.73</v>
      </c>
      <c r="F222">
        <v>7291</v>
      </c>
      <c r="G222">
        <v>0.14599999999999999</v>
      </c>
      <c r="H222">
        <v>18</v>
      </c>
      <c r="I222">
        <v>90.6</v>
      </c>
      <c r="J222">
        <v>6.34</v>
      </c>
      <c r="K222">
        <v>1</v>
      </c>
      <c r="L222">
        <v>3.8</v>
      </c>
      <c r="M222">
        <v>712219.81</v>
      </c>
      <c r="N222">
        <v>85906.54</v>
      </c>
    </row>
    <row r="223" spans="1:14">
      <c r="A223" t="s">
        <v>77</v>
      </c>
      <c r="B223" s="2">
        <v>45689</v>
      </c>
      <c r="C223" t="s">
        <v>15</v>
      </c>
      <c r="D223" t="s">
        <v>18</v>
      </c>
      <c r="E223">
        <v>27194.639999999999</v>
      </c>
      <c r="F223">
        <v>7404</v>
      </c>
      <c r="G223">
        <v>8.7999999999999995E-2</v>
      </c>
      <c r="H223">
        <v>18</v>
      </c>
      <c r="I223">
        <v>90.2</v>
      </c>
      <c r="J223">
        <v>1.2</v>
      </c>
      <c r="K223">
        <v>0</v>
      </c>
      <c r="L223">
        <v>3.4</v>
      </c>
      <c r="M223">
        <v>672670.54</v>
      </c>
      <c r="N223">
        <v>132684.18</v>
      </c>
    </row>
    <row r="224" spans="1:14">
      <c r="A224" t="s">
        <v>77</v>
      </c>
      <c r="B224" s="2">
        <v>45717</v>
      </c>
      <c r="C224" t="s">
        <v>15</v>
      </c>
      <c r="D224" t="s">
        <v>18</v>
      </c>
      <c r="E224">
        <v>66962.740000000005</v>
      </c>
      <c r="F224">
        <v>7880</v>
      </c>
      <c r="G224">
        <v>0.11600000000000001</v>
      </c>
      <c r="H224">
        <v>19</v>
      </c>
      <c r="I224">
        <v>90.4</v>
      </c>
      <c r="J224">
        <v>4.5</v>
      </c>
      <c r="K224">
        <v>0</v>
      </c>
      <c r="L224">
        <v>3.3</v>
      </c>
      <c r="M224">
        <v>732667.92</v>
      </c>
      <c r="N224">
        <v>128654.46</v>
      </c>
    </row>
    <row r="225" spans="1:14">
      <c r="A225" t="s">
        <v>77</v>
      </c>
      <c r="B225" s="2">
        <v>45748</v>
      </c>
      <c r="C225" t="s">
        <v>15</v>
      </c>
      <c r="D225" t="s">
        <v>18</v>
      </c>
      <c r="E225">
        <v>73540.990000000005</v>
      </c>
      <c r="F225">
        <v>8773</v>
      </c>
      <c r="G225">
        <v>3.5000000000000003E-2</v>
      </c>
      <c r="H225">
        <v>21</v>
      </c>
      <c r="I225">
        <v>84.4</v>
      </c>
      <c r="J225">
        <v>6.68</v>
      </c>
      <c r="K225">
        <v>0</v>
      </c>
      <c r="L225">
        <v>3.6</v>
      </c>
      <c r="M225">
        <v>723531.4</v>
      </c>
      <c r="N225">
        <v>108794.85</v>
      </c>
    </row>
    <row r="226" spans="1:14">
      <c r="A226" t="s">
        <v>78</v>
      </c>
      <c r="B226" s="2">
        <v>45658</v>
      </c>
      <c r="C226" t="s">
        <v>15</v>
      </c>
      <c r="D226" t="s">
        <v>28</v>
      </c>
      <c r="E226">
        <v>68212.289999999994</v>
      </c>
      <c r="F226">
        <v>4713</v>
      </c>
      <c r="G226">
        <v>0.19800000000000001</v>
      </c>
      <c r="H226">
        <v>15</v>
      </c>
      <c r="I226">
        <v>82.6</v>
      </c>
      <c r="J226">
        <v>4.07</v>
      </c>
      <c r="K226">
        <v>1</v>
      </c>
      <c r="L226">
        <v>3</v>
      </c>
      <c r="M226">
        <v>641564.6</v>
      </c>
      <c r="N226">
        <v>90468.96</v>
      </c>
    </row>
    <row r="227" spans="1:14">
      <c r="A227" t="s">
        <v>78</v>
      </c>
      <c r="B227" s="2">
        <v>45689</v>
      </c>
      <c r="C227" t="s">
        <v>15</v>
      </c>
      <c r="D227" t="s">
        <v>28</v>
      </c>
      <c r="E227">
        <v>57225.98</v>
      </c>
      <c r="F227">
        <v>2842</v>
      </c>
      <c r="G227">
        <v>0.112</v>
      </c>
      <c r="H227">
        <v>10</v>
      </c>
      <c r="I227">
        <v>79.5</v>
      </c>
      <c r="J227">
        <v>5.45</v>
      </c>
      <c r="K227">
        <v>0</v>
      </c>
      <c r="L227">
        <v>3.4</v>
      </c>
      <c r="M227">
        <v>536545.49</v>
      </c>
      <c r="N227">
        <v>97917.45</v>
      </c>
    </row>
    <row r="228" spans="1:14">
      <c r="A228" t="s">
        <v>78</v>
      </c>
      <c r="B228" s="2">
        <v>45717</v>
      </c>
      <c r="C228" t="s">
        <v>15</v>
      </c>
      <c r="D228" t="s">
        <v>28</v>
      </c>
      <c r="E228">
        <v>42932.02</v>
      </c>
      <c r="F228">
        <v>3872</v>
      </c>
      <c r="G228">
        <v>0.17100000000000001</v>
      </c>
      <c r="H228">
        <v>12</v>
      </c>
      <c r="I228">
        <v>83.2</v>
      </c>
      <c r="J228">
        <v>15.58</v>
      </c>
      <c r="K228">
        <v>0</v>
      </c>
      <c r="L228">
        <v>3.3</v>
      </c>
      <c r="M228">
        <v>527681.56000000006</v>
      </c>
      <c r="N228">
        <v>63153.05</v>
      </c>
    </row>
    <row r="229" spans="1:14">
      <c r="A229" t="s">
        <v>78</v>
      </c>
      <c r="B229" s="2">
        <v>45748</v>
      </c>
      <c r="C229" t="s">
        <v>15</v>
      </c>
      <c r="D229" t="s">
        <v>28</v>
      </c>
      <c r="E229">
        <v>39341.449999999997</v>
      </c>
      <c r="F229">
        <v>1375</v>
      </c>
      <c r="G229">
        <v>9.2999999999999999E-2</v>
      </c>
      <c r="H229">
        <v>5</v>
      </c>
      <c r="I229">
        <v>95</v>
      </c>
      <c r="J229">
        <v>5.32</v>
      </c>
      <c r="K229">
        <v>0</v>
      </c>
      <c r="L229">
        <v>3.9246794871794872</v>
      </c>
      <c r="M229">
        <v>529598.93999999994</v>
      </c>
      <c r="N229">
        <v>84334.33</v>
      </c>
    </row>
    <row r="230" spans="1:14">
      <c r="A230" t="s">
        <v>79</v>
      </c>
      <c r="B230" s="2">
        <v>45658</v>
      </c>
      <c r="C230" t="s">
        <v>15</v>
      </c>
      <c r="D230" t="s">
        <v>18</v>
      </c>
      <c r="E230">
        <v>37324.230000000003</v>
      </c>
      <c r="F230">
        <v>5957</v>
      </c>
      <c r="G230">
        <v>7.0999999999999994E-2</v>
      </c>
      <c r="H230">
        <v>12</v>
      </c>
      <c r="I230">
        <v>85.9</v>
      </c>
      <c r="J230">
        <v>0.37</v>
      </c>
      <c r="K230">
        <v>0</v>
      </c>
      <c r="L230">
        <v>3.8</v>
      </c>
      <c r="M230">
        <v>570963.31000000006</v>
      </c>
      <c r="N230">
        <v>87342.25</v>
      </c>
    </row>
    <row r="231" spans="1:14">
      <c r="A231" t="s">
        <v>79</v>
      </c>
      <c r="B231" s="2">
        <v>45689</v>
      </c>
      <c r="C231" t="s">
        <v>15</v>
      </c>
      <c r="D231" t="s">
        <v>18</v>
      </c>
      <c r="E231">
        <v>113736</v>
      </c>
      <c r="F231">
        <v>8961</v>
      </c>
      <c r="G231">
        <v>0.20200000000000001</v>
      </c>
      <c r="H231">
        <v>24</v>
      </c>
      <c r="I231">
        <v>86.2</v>
      </c>
      <c r="J231">
        <v>21.63</v>
      </c>
      <c r="K231">
        <v>0</v>
      </c>
      <c r="L231">
        <v>4</v>
      </c>
      <c r="M231">
        <v>870937.4</v>
      </c>
      <c r="N231">
        <v>175282.74</v>
      </c>
    </row>
    <row r="232" spans="1:14">
      <c r="A232" t="s">
        <v>79</v>
      </c>
      <c r="B232" s="2">
        <v>45717</v>
      </c>
      <c r="C232" t="s">
        <v>15</v>
      </c>
      <c r="D232" t="s">
        <v>18</v>
      </c>
      <c r="E232">
        <v>33173.949999999997</v>
      </c>
      <c r="F232">
        <v>6545</v>
      </c>
      <c r="G232">
        <v>0.16900000000000001</v>
      </c>
      <c r="H232">
        <v>15</v>
      </c>
      <c r="I232">
        <v>84.4</v>
      </c>
      <c r="J232">
        <v>2.48</v>
      </c>
      <c r="K232">
        <v>0</v>
      </c>
      <c r="L232">
        <v>3.9</v>
      </c>
      <c r="M232">
        <v>596969.27</v>
      </c>
      <c r="N232">
        <v>105669.51</v>
      </c>
    </row>
    <row r="233" spans="1:14">
      <c r="A233" t="s">
        <v>79</v>
      </c>
      <c r="B233" s="2">
        <v>45748</v>
      </c>
      <c r="C233" t="s">
        <v>15</v>
      </c>
      <c r="D233" t="s">
        <v>18</v>
      </c>
      <c r="E233">
        <v>25818.080000000002</v>
      </c>
      <c r="F233">
        <v>5457</v>
      </c>
      <c r="G233">
        <v>0</v>
      </c>
      <c r="H233">
        <v>11</v>
      </c>
      <c r="I233">
        <v>95.4</v>
      </c>
      <c r="J233">
        <v>4.5590445859872624</v>
      </c>
      <c r="K233">
        <v>0</v>
      </c>
      <c r="L233">
        <v>3.7</v>
      </c>
      <c r="M233">
        <v>647512.85</v>
      </c>
      <c r="N233">
        <v>153835.57</v>
      </c>
    </row>
    <row r="234" spans="1:14">
      <c r="A234" t="s">
        <v>80</v>
      </c>
      <c r="B234" s="2">
        <v>45658</v>
      </c>
      <c r="C234" t="s">
        <v>27</v>
      </c>
      <c r="D234" t="s">
        <v>16</v>
      </c>
      <c r="E234">
        <v>47241.919999999998</v>
      </c>
      <c r="F234">
        <v>4264</v>
      </c>
      <c r="G234">
        <v>6.9000000000000006E-2</v>
      </c>
      <c r="H234">
        <v>13</v>
      </c>
      <c r="I234">
        <v>95.3</v>
      </c>
      <c r="J234">
        <v>0.85</v>
      </c>
      <c r="K234">
        <v>0</v>
      </c>
      <c r="L234">
        <v>4.3</v>
      </c>
      <c r="M234">
        <v>658072.14</v>
      </c>
      <c r="N234">
        <v>110595.89</v>
      </c>
    </row>
    <row r="235" spans="1:14">
      <c r="A235" t="s">
        <v>80</v>
      </c>
      <c r="B235" s="2">
        <v>45689</v>
      </c>
      <c r="C235" t="s">
        <v>27</v>
      </c>
      <c r="D235" t="s">
        <v>16</v>
      </c>
      <c r="E235">
        <v>61650.79</v>
      </c>
      <c r="F235">
        <v>5321</v>
      </c>
      <c r="G235">
        <v>0.126</v>
      </c>
      <c r="H235">
        <v>17</v>
      </c>
      <c r="I235">
        <v>89.2</v>
      </c>
      <c r="J235">
        <v>2.13</v>
      </c>
      <c r="K235">
        <v>0</v>
      </c>
      <c r="L235">
        <v>4</v>
      </c>
      <c r="M235">
        <v>723305.11</v>
      </c>
      <c r="N235">
        <v>128468.7</v>
      </c>
    </row>
    <row r="236" spans="1:14">
      <c r="A236" t="s">
        <v>80</v>
      </c>
      <c r="B236" s="2">
        <v>45717</v>
      </c>
      <c r="C236" t="s">
        <v>27</v>
      </c>
      <c r="D236" t="s">
        <v>16</v>
      </c>
      <c r="E236">
        <v>62582.71</v>
      </c>
      <c r="F236">
        <v>5479</v>
      </c>
      <c r="G236">
        <v>4.8000000000000001E-2</v>
      </c>
      <c r="H236">
        <v>16</v>
      </c>
      <c r="I236">
        <v>81.2</v>
      </c>
      <c r="J236">
        <v>1.46</v>
      </c>
      <c r="K236">
        <v>0</v>
      </c>
      <c r="L236">
        <v>4.5</v>
      </c>
      <c r="M236">
        <v>640666.53</v>
      </c>
      <c r="N236">
        <v>134919.16</v>
      </c>
    </row>
    <row r="237" spans="1:14">
      <c r="A237" t="s">
        <v>80</v>
      </c>
      <c r="B237" s="2">
        <v>45748</v>
      </c>
      <c r="C237" t="s">
        <v>27</v>
      </c>
      <c r="D237" t="s">
        <v>16</v>
      </c>
      <c r="E237">
        <v>47944.14</v>
      </c>
      <c r="F237">
        <v>6169</v>
      </c>
      <c r="G237">
        <v>0.11899999999999999</v>
      </c>
      <c r="H237">
        <v>17</v>
      </c>
      <c r="I237">
        <v>92.2</v>
      </c>
      <c r="J237">
        <v>3.02</v>
      </c>
      <c r="K237">
        <v>0</v>
      </c>
      <c r="L237">
        <v>4.0999999999999996</v>
      </c>
      <c r="M237">
        <v>670629.48</v>
      </c>
      <c r="N237">
        <v>100140.8</v>
      </c>
    </row>
    <row r="238" spans="1:14">
      <c r="A238" t="s">
        <v>81</v>
      </c>
      <c r="B238" s="2">
        <v>45658</v>
      </c>
      <c r="C238" t="s">
        <v>27</v>
      </c>
      <c r="D238" t="s">
        <v>28</v>
      </c>
      <c r="E238">
        <v>46495.4</v>
      </c>
      <c r="F238">
        <v>9908</v>
      </c>
      <c r="G238">
        <v>0.121</v>
      </c>
      <c r="H238">
        <v>22</v>
      </c>
      <c r="I238">
        <v>89.4</v>
      </c>
      <c r="J238">
        <v>3.22</v>
      </c>
      <c r="K238">
        <v>0</v>
      </c>
      <c r="L238">
        <v>3.7</v>
      </c>
      <c r="M238">
        <v>721079.35</v>
      </c>
      <c r="N238">
        <v>115295.05</v>
      </c>
    </row>
    <row r="239" spans="1:14">
      <c r="A239" t="s">
        <v>81</v>
      </c>
      <c r="B239" s="2">
        <v>45689</v>
      </c>
      <c r="C239" t="s">
        <v>27</v>
      </c>
      <c r="D239" t="s">
        <v>28</v>
      </c>
      <c r="E239">
        <v>72961.95</v>
      </c>
      <c r="F239">
        <v>9996</v>
      </c>
      <c r="G239">
        <v>0.106</v>
      </c>
      <c r="H239">
        <v>22</v>
      </c>
      <c r="I239">
        <v>89.1</v>
      </c>
      <c r="J239">
        <v>15.66</v>
      </c>
      <c r="K239">
        <v>0</v>
      </c>
      <c r="L239">
        <v>3.4</v>
      </c>
      <c r="M239">
        <v>810355.02</v>
      </c>
      <c r="N239">
        <v>131510</v>
      </c>
    </row>
    <row r="240" spans="1:14">
      <c r="A240" t="s">
        <v>81</v>
      </c>
      <c r="B240" s="2">
        <v>45717</v>
      </c>
      <c r="C240" t="s">
        <v>27</v>
      </c>
      <c r="D240" t="s">
        <v>28</v>
      </c>
      <c r="E240">
        <v>59060.05</v>
      </c>
      <c r="F240">
        <v>9702</v>
      </c>
      <c r="G240">
        <v>0.20100000000000001</v>
      </c>
      <c r="H240">
        <v>23</v>
      </c>
      <c r="I240">
        <v>80.900000000000006</v>
      </c>
      <c r="J240">
        <v>6.96</v>
      </c>
      <c r="K240">
        <v>0</v>
      </c>
      <c r="L240">
        <v>3.2</v>
      </c>
      <c r="M240">
        <v>761919.25</v>
      </c>
      <c r="N240">
        <v>111893.06</v>
      </c>
    </row>
    <row r="241" spans="1:14">
      <c r="A241" t="s">
        <v>81</v>
      </c>
      <c r="B241" s="2">
        <v>45748</v>
      </c>
      <c r="C241" t="s">
        <v>27</v>
      </c>
      <c r="D241" t="s">
        <v>28</v>
      </c>
      <c r="E241">
        <v>26248.1</v>
      </c>
      <c r="F241">
        <v>9314</v>
      </c>
      <c r="G241">
        <v>0.186</v>
      </c>
      <c r="H241">
        <v>21</v>
      </c>
      <c r="I241">
        <v>83.7</v>
      </c>
      <c r="J241">
        <v>4.62</v>
      </c>
      <c r="K241">
        <v>0</v>
      </c>
      <c r="L241">
        <v>3.3</v>
      </c>
      <c r="M241">
        <v>737070.18</v>
      </c>
      <c r="N241">
        <v>117593.97</v>
      </c>
    </row>
    <row r="242" spans="1:14">
      <c r="A242" t="s">
        <v>82</v>
      </c>
      <c r="B242" s="2">
        <v>45658</v>
      </c>
      <c r="C242" t="s">
        <v>24</v>
      </c>
      <c r="D242" t="s">
        <v>21</v>
      </c>
      <c r="E242">
        <v>69900.12</v>
      </c>
      <c r="F242">
        <v>8055</v>
      </c>
      <c r="G242">
        <v>0.28100000000000003</v>
      </c>
      <c r="H242">
        <v>22</v>
      </c>
      <c r="I242">
        <v>85.6</v>
      </c>
      <c r="J242">
        <v>10.68</v>
      </c>
      <c r="K242">
        <v>1</v>
      </c>
      <c r="L242">
        <v>2.9</v>
      </c>
      <c r="M242">
        <v>776992.93</v>
      </c>
      <c r="N242">
        <v>101598.32</v>
      </c>
    </row>
    <row r="243" spans="1:14">
      <c r="A243" t="s">
        <v>82</v>
      </c>
      <c r="B243" s="2">
        <v>45689</v>
      </c>
      <c r="C243" t="s">
        <v>24</v>
      </c>
      <c r="D243" t="s">
        <v>21</v>
      </c>
      <c r="E243">
        <v>51781.599999999999</v>
      </c>
      <c r="F243">
        <v>5648</v>
      </c>
      <c r="G243">
        <v>5.8999999999999997E-2</v>
      </c>
      <c r="H243">
        <v>13</v>
      </c>
      <c r="I243">
        <v>85.5</v>
      </c>
      <c r="J243">
        <v>4.04</v>
      </c>
      <c r="K243">
        <v>0</v>
      </c>
      <c r="L243">
        <v>3.7</v>
      </c>
      <c r="M243">
        <v>676337.41</v>
      </c>
      <c r="N243">
        <v>104355.77</v>
      </c>
    </row>
    <row r="244" spans="1:14">
      <c r="A244" t="s">
        <v>82</v>
      </c>
      <c r="B244" s="2">
        <v>45717</v>
      </c>
      <c r="C244" t="s">
        <v>24</v>
      </c>
      <c r="D244" t="s">
        <v>21</v>
      </c>
      <c r="E244">
        <v>70799.64</v>
      </c>
      <c r="F244">
        <v>10076</v>
      </c>
      <c r="G244">
        <v>0.152</v>
      </c>
      <c r="H244">
        <v>24</v>
      </c>
      <c r="I244">
        <v>84.8</v>
      </c>
      <c r="J244">
        <v>1.87</v>
      </c>
      <c r="K244">
        <v>0</v>
      </c>
      <c r="L244">
        <v>3.5</v>
      </c>
      <c r="M244">
        <v>828219.67</v>
      </c>
      <c r="N244">
        <v>179806.87</v>
      </c>
    </row>
    <row r="245" spans="1:14">
      <c r="A245" t="s">
        <v>82</v>
      </c>
      <c r="B245" s="2">
        <v>45748</v>
      </c>
      <c r="C245" t="s">
        <v>24</v>
      </c>
      <c r="D245" t="s">
        <v>21</v>
      </c>
      <c r="E245">
        <v>53546.34</v>
      </c>
      <c r="F245">
        <v>8004</v>
      </c>
      <c r="G245">
        <v>0</v>
      </c>
      <c r="H245">
        <v>21</v>
      </c>
      <c r="I245">
        <v>95.2</v>
      </c>
      <c r="J245">
        <v>2.83</v>
      </c>
      <c r="K245">
        <v>0</v>
      </c>
      <c r="L245">
        <v>3</v>
      </c>
      <c r="M245">
        <v>763159.92</v>
      </c>
      <c r="N245">
        <v>177104.87</v>
      </c>
    </row>
    <row r="246" spans="1:14">
      <c r="A246" t="s">
        <v>83</v>
      </c>
      <c r="B246" s="2">
        <v>45658</v>
      </c>
      <c r="C246" t="s">
        <v>15</v>
      </c>
      <c r="D246" t="s">
        <v>18</v>
      </c>
      <c r="E246">
        <v>76942.2</v>
      </c>
      <c r="F246">
        <v>8934</v>
      </c>
      <c r="G246">
        <v>8.4000000000000005E-2</v>
      </c>
      <c r="H246">
        <v>20</v>
      </c>
      <c r="I246">
        <v>91</v>
      </c>
      <c r="J246">
        <v>0.95</v>
      </c>
      <c r="K246">
        <v>0</v>
      </c>
      <c r="L246">
        <v>3.2</v>
      </c>
      <c r="M246">
        <v>802001.68</v>
      </c>
      <c r="N246">
        <v>159715.82</v>
      </c>
    </row>
    <row r="247" spans="1:14">
      <c r="A247" t="s">
        <v>83</v>
      </c>
      <c r="B247" s="2">
        <v>45689</v>
      </c>
      <c r="C247" t="s">
        <v>15</v>
      </c>
      <c r="D247" t="s">
        <v>18</v>
      </c>
      <c r="E247">
        <v>48060.78</v>
      </c>
      <c r="F247">
        <v>8733</v>
      </c>
      <c r="G247">
        <v>0</v>
      </c>
      <c r="H247">
        <v>20</v>
      </c>
      <c r="I247">
        <v>89.9</v>
      </c>
      <c r="J247">
        <v>0.8</v>
      </c>
      <c r="K247">
        <v>0</v>
      </c>
      <c r="L247">
        <v>3.4</v>
      </c>
      <c r="M247">
        <v>750471.34</v>
      </c>
      <c r="N247">
        <v>133788.04</v>
      </c>
    </row>
    <row r="248" spans="1:14">
      <c r="A248" t="s">
        <v>83</v>
      </c>
      <c r="B248" s="2">
        <v>45717</v>
      </c>
      <c r="C248" t="s">
        <v>15</v>
      </c>
      <c r="D248" t="s">
        <v>18</v>
      </c>
      <c r="E248">
        <v>57390.04</v>
      </c>
      <c r="F248">
        <v>7374</v>
      </c>
      <c r="G248">
        <v>0.21</v>
      </c>
      <c r="H248">
        <v>21</v>
      </c>
      <c r="I248">
        <v>91.8</v>
      </c>
      <c r="J248">
        <v>0.2</v>
      </c>
      <c r="K248">
        <v>0</v>
      </c>
      <c r="L248">
        <v>3.1</v>
      </c>
      <c r="M248">
        <v>679230.86</v>
      </c>
      <c r="N248">
        <v>106927.58</v>
      </c>
    </row>
    <row r="249" spans="1:14">
      <c r="A249" t="s">
        <v>83</v>
      </c>
      <c r="B249" s="2">
        <v>45748</v>
      </c>
      <c r="C249" t="s">
        <v>15</v>
      </c>
      <c r="D249" t="s">
        <v>18</v>
      </c>
      <c r="E249">
        <v>21536.18</v>
      </c>
      <c r="F249">
        <v>8119</v>
      </c>
      <c r="G249">
        <v>0.22700000000000001</v>
      </c>
      <c r="H249">
        <v>20</v>
      </c>
      <c r="I249">
        <v>90.4</v>
      </c>
      <c r="J249">
        <v>1.7</v>
      </c>
      <c r="K249">
        <v>0</v>
      </c>
      <c r="L249">
        <v>3.3</v>
      </c>
      <c r="M249">
        <v>679888.74</v>
      </c>
      <c r="N249">
        <v>83406.89</v>
      </c>
    </row>
    <row r="250" spans="1:14">
      <c r="A250" t="s">
        <v>84</v>
      </c>
      <c r="B250" s="2">
        <v>45658</v>
      </c>
      <c r="C250" t="s">
        <v>20</v>
      </c>
      <c r="D250" t="s">
        <v>18</v>
      </c>
      <c r="E250">
        <v>40923.67</v>
      </c>
      <c r="F250">
        <v>3875</v>
      </c>
      <c r="G250">
        <v>0.15</v>
      </c>
      <c r="H250">
        <v>10</v>
      </c>
      <c r="I250">
        <v>96.1</v>
      </c>
      <c r="J250">
        <v>4.5590445859872624</v>
      </c>
      <c r="K250">
        <v>0</v>
      </c>
      <c r="L250">
        <v>3.8</v>
      </c>
      <c r="M250">
        <v>606783.67000000004</v>
      </c>
      <c r="N250">
        <v>74515.87</v>
      </c>
    </row>
    <row r="251" spans="1:14">
      <c r="A251" t="s">
        <v>84</v>
      </c>
      <c r="B251" s="2">
        <v>45689</v>
      </c>
      <c r="C251" t="s">
        <v>20</v>
      </c>
      <c r="D251" t="s">
        <v>18</v>
      </c>
      <c r="E251">
        <v>72932.55</v>
      </c>
      <c r="F251">
        <v>5765</v>
      </c>
      <c r="G251">
        <v>2.5999999999999999E-2</v>
      </c>
      <c r="H251">
        <v>17</v>
      </c>
      <c r="I251">
        <v>81.8</v>
      </c>
      <c r="J251">
        <v>5.0999999999999996</v>
      </c>
      <c r="K251">
        <v>0</v>
      </c>
      <c r="L251">
        <v>3.6</v>
      </c>
      <c r="M251">
        <v>642751.42000000004</v>
      </c>
      <c r="N251">
        <v>131942.15</v>
      </c>
    </row>
    <row r="252" spans="1:14">
      <c r="A252" t="s">
        <v>84</v>
      </c>
      <c r="B252" s="2">
        <v>45717</v>
      </c>
      <c r="C252" t="s">
        <v>20</v>
      </c>
      <c r="D252" t="s">
        <v>18</v>
      </c>
      <c r="E252">
        <v>38361.93</v>
      </c>
      <c r="F252">
        <v>6322</v>
      </c>
      <c r="G252">
        <v>0.27300000000000002</v>
      </c>
      <c r="H252">
        <v>15</v>
      </c>
      <c r="I252">
        <v>88.4</v>
      </c>
      <c r="J252">
        <v>0.83</v>
      </c>
      <c r="K252">
        <v>0</v>
      </c>
      <c r="L252">
        <v>4</v>
      </c>
      <c r="M252">
        <v>647953.78</v>
      </c>
      <c r="N252">
        <v>118497.43</v>
      </c>
    </row>
    <row r="253" spans="1:14">
      <c r="A253" t="s">
        <v>84</v>
      </c>
      <c r="B253" s="2">
        <v>45748</v>
      </c>
      <c r="C253" t="s">
        <v>20</v>
      </c>
      <c r="D253" t="s">
        <v>18</v>
      </c>
      <c r="E253">
        <v>97480.94</v>
      </c>
      <c r="F253">
        <v>6840</v>
      </c>
      <c r="G253">
        <v>8.6999999999999994E-2</v>
      </c>
      <c r="H253">
        <v>14</v>
      </c>
      <c r="I253">
        <v>79.2</v>
      </c>
      <c r="J253">
        <v>1.1399999999999999</v>
      </c>
      <c r="K253">
        <v>0</v>
      </c>
      <c r="L253">
        <v>4</v>
      </c>
      <c r="M253">
        <v>729440.45</v>
      </c>
      <c r="N253">
        <v>87614.29</v>
      </c>
    </row>
    <row r="254" spans="1:14">
      <c r="A254" t="s">
        <v>85</v>
      </c>
      <c r="B254" s="2">
        <v>45658</v>
      </c>
      <c r="C254" t="s">
        <v>24</v>
      </c>
      <c r="D254" t="s">
        <v>21</v>
      </c>
      <c r="E254">
        <v>81801.8</v>
      </c>
      <c r="F254">
        <v>6782</v>
      </c>
      <c r="G254">
        <v>0.05</v>
      </c>
      <c r="H254">
        <v>16</v>
      </c>
      <c r="I254">
        <v>99</v>
      </c>
      <c r="J254">
        <v>9.5399999999999991</v>
      </c>
      <c r="K254">
        <v>0</v>
      </c>
      <c r="L254">
        <v>3.7</v>
      </c>
      <c r="M254">
        <v>764949</v>
      </c>
      <c r="N254">
        <v>148322.43</v>
      </c>
    </row>
    <row r="255" spans="1:14">
      <c r="A255" t="s">
        <v>85</v>
      </c>
      <c r="B255" s="2">
        <v>45689</v>
      </c>
      <c r="C255" t="s">
        <v>24</v>
      </c>
      <c r="D255" t="s">
        <v>21</v>
      </c>
      <c r="E255">
        <v>63582.11</v>
      </c>
      <c r="F255">
        <v>6856</v>
      </c>
      <c r="G255">
        <v>7.3999999999999996E-2</v>
      </c>
      <c r="H255">
        <v>17</v>
      </c>
      <c r="I255">
        <v>89.5</v>
      </c>
      <c r="J255">
        <v>5.48</v>
      </c>
      <c r="K255">
        <v>0</v>
      </c>
      <c r="L255">
        <v>3.2</v>
      </c>
      <c r="M255">
        <v>799046.94</v>
      </c>
      <c r="N255">
        <v>144553.64000000001</v>
      </c>
    </row>
    <row r="256" spans="1:14">
      <c r="A256" t="s">
        <v>85</v>
      </c>
      <c r="B256" s="2">
        <v>45717</v>
      </c>
      <c r="C256" t="s">
        <v>24</v>
      </c>
      <c r="D256" t="s">
        <v>21</v>
      </c>
      <c r="E256">
        <v>75412.740000000005</v>
      </c>
      <c r="F256">
        <v>5641</v>
      </c>
      <c r="G256">
        <v>5.8999999999999997E-2</v>
      </c>
      <c r="H256">
        <v>13</v>
      </c>
      <c r="I256">
        <v>87.9</v>
      </c>
      <c r="J256">
        <v>0.84</v>
      </c>
      <c r="K256">
        <v>0</v>
      </c>
      <c r="L256">
        <v>3.6</v>
      </c>
      <c r="M256">
        <v>720079.54</v>
      </c>
      <c r="N256">
        <v>119499.47</v>
      </c>
    </row>
    <row r="257" spans="1:14">
      <c r="A257" t="s">
        <v>85</v>
      </c>
      <c r="B257" s="2">
        <v>45748</v>
      </c>
      <c r="C257" t="s">
        <v>24</v>
      </c>
      <c r="D257" t="s">
        <v>21</v>
      </c>
      <c r="E257">
        <v>36290.080000000002</v>
      </c>
      <c r="F257">
        <v>5787</v>
      </c>
      <c r="G257">
        <v>0</v>
      </c>
      <c r="H257">
        <v>17</v>
      </c>
      <c r="I257">
        <v>88.3</v>
      </c>
      <c r="J257">
        <v>4.1900000000000004</v>
      </c>
      <c r="K257">
        <v>0</v>
      </c>
      <c r="L257">
        <v>4.0999999999999996</v>
      </c>
      <c r="M257">
        <v>612390.14</v>
      </c>
      <c r="N257">
        <v>108985.74</v>
      </c>
    </row>
    <row r="258" spans="1:14">
      <c r="A258" t="s">
        <v>86</v>
      </c>
      <c r="B258" s="2">
        <v>45658</v>
      </c>
      <c r="C258" t="s">
        <v>24</v>
      </c>
      <c r="D258" t="s">
        <v>28</v>
      </c>
      <c r="E258">
        <v>65272.58</v>
      </c>
      <c r="F258">
        <v>8165</v>
      </c>
      <c r="G258">
        <v>5.0999999999999997E-2</v>
      </c>
      <c r="H258">
        <v>19</v>
      </c>
      <c r="I258">
        <v>87.8</v>
      </c>
      <c r="J258">
        <v>1.26</v>
      </c>
      <c r="K258">
        <v>1</v>
      </c>
      <c r="L258">
        <v>4.3</v>
      </c>
      <c r="M258">
        <v>840108.12</v>
      </c>
      <c r="N258">
        <v>126587.01</v>
      </c>
    </row>
    <row r="259" spans="1:14">
      <c r="A259" t="s">
        <v>86</v>
      </c>
      <c r="B259" s="2">
        <v>45689</v>
      </c>
      <c r="C259" t="s">
        <v>24</v>
      </c>
      <c r="D259" t="s">
        <v>28</v>
      </c>
      <c r="E259">
        <v>28670.43</v>
      </c>
      <c r="F259">
        <v>7574</v>
      </c>
      <c r="G259">
        <v>0.114</v>
      </c>
      <c r="H259">
        <v>19</v>
      </c>
      <c r="I259">
        <v>82.7</v>
      </c>
      <c r="J259">
        <v>2.74</v>
      </c>
      <c r="K259">
        <v>0</v>
      </c>
      <c r="L259">
        <v>4.5999999999999996</v>
      </c>
      <c r="M259">
        <v>697888.09</v>
      </c>
      <c r="N259">
        <v>116249.87</v>
      </c>
    </row>
    <row r="260" spans="1:14">
      <c r="A260" t="s">
        <v>86</v>
      </c>
      <c r="B260" s="2">
        <v>45717</v>
      </c>
      <c r="C260" t="s">
        <v>24</v>
      </c>
      <c r="D260" t="s">
        <v>28</v>
      </c>
      <c r="E260">
        <v>44189.34</v>
      </c>
      <c r="F260">
        <v>8634</v>
      </c>
      <c r="G260">
        <v>0.14299999999999999</v>
      </c>
      <c r="H260">
        <v>19</v>
      </c>
      <c r="I260">
        <v>87.5</v>
      </c>
      <c r="J260">
        <v>3.69</v>
      </c>
      <c r="K260">
        <v>0</v>
      </c>
      <c r="L260">
        <v>4.4000000000000004</v>
      </c>
      <c r="M260">
        <v>746115.59</v>
      </c>
      <c r="N260">
        <v>94662.96</v>
      </c>
    </row>
    <row r="261" spans="1:14">
      <c r="A261" t="s">
        <v>86</v>
      </c>
      <c r="B261" s="2">
        <v>45748</v>
      </c>
      <c r="C261" t="s">
        <v>24</v>
      </c>
      <c r="D261" t="s">
        <v>28</v>
      </c>
      <c r="E261">
        <v>38397.82</v>
      </c>
      <c r="F261">
        <v>7836</v>
      </c>
      <c r="G261">
        <v>7.0000000000000001E-3</v>
      </c>
      <c r="H261">
        <v>21</v>
      </c>
      <c r="I261">
        <v>92.2</v>
      </c>
      <c r="J261">
        <v>1.82</v>
      </c>
      <c r="K261">
        <v>0</v>
      </c>
      <c r="L261">
        <v>3.6</v>
      </c>
      <c r="M261">
        <v>776110.32</v>
      </c>
      <c r="N261">
        <v>139676.21</v>
      </c>
    </row>
    <row r="262" spans="1:14">
      <c r="A262" t="s">
        <v>87</v>
      </c>
      <c r="B262" s="2">
        <v>45658</v>
      </c>
      <c r="C262" t="s">
        <v>27</v>
      </c>
      <c r="D262" t="s">
        <v>18</v>
      </c>
      <c r="E262">
        <v>14519.37</v>
      </c>
      <c r="F262">
        <v>3047</v>
      </c>
      <c r="G262">
        <v>0.13500000000000001</v>
      </c>
      <c r="H262">
        <v>10</v>
      </c>
      <c r="I262">
        <v>90.3</v>
      </c>
      <c r="J262">
        <v>6.62</v>
      </c>
      <c r="K262">
        <v>0</v>
      </c>
      <c r="L262">
        <v>4.2</v>
      </c>
      <c r="M262">
        <v>528852.62</v>
      </c>
      <c r="N262">
        <v>68426.210000000006</v>
      </c>
    </row>
    <row r="263" spans="1:14">
      <c r="A263" t="s">
        <v>87</v>
      </c>
      <c r="B263" s="2">
        <v>45689</v>
      </c>
      <c r="C263" t="s">
        <v>27</v>
      </c>
      <c r="D263" t="s">
        <v>18</v>
      </c>
      <c r="E263">
        <v>43288.2</v>
      </c>
      <c r="F263">
        <v>4783</v>
      </c>
      <c r="G263">
        <v>0.16900000000000001</v>
      </c>
      <c r="H263">
        <v>13</v>
      </c>
      <c r="I263">
        <v>87.3</v>
      </c>
      <c r="J263">
        <v>4.5590445859872624</v>
      </c>
      <c r="K263">
        <v>0</v>
      </c>
      <c r="L263">
        <v>4.2</v>
      </c>
      <c r="M263">
        <v>605751.32999999996</v>
      </c>
      <c r="N263">
        <v>60685.53</v>
      </c>
    </row>
    <row r="264" spans="1:14">
      <c r="A264" t="s">
        <v>87</v>
      </c>
      <c r="B264" s="2">
        <v>45717</v>
      </c>
      <c r="C264" t="s">
        <v>27</v>
      </c>
      <c r="D264" t="s">
        <v>18</v>
      </c>
      <c r="E264">
        <v>51450.55</v>
      </c>
      <c r="F264">
        <v>4902</v>
      </c>
      <c r="G264">
        <v>8.5999999999999993E-2</v>
      </c>
      <c r="H264">
        <v>11</v>
      </c>
      <c r="I264">
        <v>83.7</v>
      </c>
      <c r="J264">
        <v>6.92</v>
      </c>
      <c r="K264">
        <v>1</v>
      </c>
      <c r="L264">
        <v>4.2</v>
      </c>
      <c r="M264">
        <v>677640.65</v>
      </c>
      <c r="N264">
        <v>111610.89</v>
      </c>
    </row>
    <row r="265" spans="1:14">
      <c r="A265" t="s">
        <v>87</v>
      </c>
      <c r="B265" s="2">
        <v>45748</v>
      </c>
      <c r="C265" t="s">
        <v>27</v>
      </c>
      <c r="D265" t="s">
        <v>18</v>
      </c>
      <c r="E265">
        <v>58688.26</v>
      </c>
      <c r="F265">
        <v>4022</v>
      </c>
      <c r="G265">
        <v>0.217</v>
      </c>
      <c r="H265">
        <v>12</v>
      </c>
      <c r="I265">
        <v>93.8</v>
      </c>
      <c r="J265">
        <v>11.78</v>
      </c>
      <c r="K265">
        <v>0</v>
      </c>
      <c r="L265">
        <v>3.7</v>
      </c>
      <c r="M265">
        <v>636613.23</v>
      </c>
      <c r="N265">
        <v>78908.350000000006</v>
      </c>
    </row>
    <row r="266" spans="1:14">
      <c r="A266" t="s">
        <v>88</v>
      </c>
      <c r="B266" s="2">
        <v>45658</v>
      </c>
      <c r="C266" t="s">
        <v>15</v>
      </c>
      <c r="D266" t="s">
        <v>18</v>
      </c>
      <c r="E266">
        <v>58981.91</v>
      </c>
      <c r="F266">
        <v>7324</v>
      </c>
      <c r="G266">
        <v>9.4E-2</v>
      </c>
      <c r="H266">
        <v>15</v>
      </c>
      <c r="I266">
        <v>95.8</v>
      </c>
      <c r="J266">
        <v>0.5</v>
      </c>
      <c r="K266">
        <v>0</v>
      </c>
      <c r="L266">
        <v>3.5</v>
      </c>
      <c r="M266">
        <v>708985.19</v>
      </c>
      <c r="N266">
        <v>125368.16</v>
      </c>
    </row>
    <row r="267" spans="1:14">
      <c r="A267" t="s">
        <v>88</v>
      </c>
      <c r="B267" s="2">
        <v>45689</v>
      </c>
      <c r="C267" t="s">
        <v>15</v>
      </c>
      <c r="D267" t="s">
        <v>18</v>
      </c>
      <c r="E267">
        <v>73454.539999999994</v>
      </c>
      <c r="F267">
        <v>8129</v>
      </c>
      <c r="G267">
        <v>0.21099999999999999</v>
      </c>
      <c r="H267">
        <v>20</v>
      </c>
      <c r="I267">
        <v>85.2</v>
      </c>
      <c r="J267">
        <v>0.88</v>
      </c>
      <c r="K267">
        <v>0</v>
      </c>
      <c r="L267">
        <v>3.7</v>
      </c>
      <c r="M267">
        <v>767792.94</v>
      </c>
      <c r="N267">
        <v>96235.77</v>
      </c>
    </row>
    <row r="268" spans="1:14">
      <c r="A268" t="s">
        <v>88</v>
      </c>
      <c r="B268" s="2">
        <v>45717</v>
      </c>
      <c r="C268" t="s">
        <v>15</v>
      </c>
      <c r="D268" t="s">
        <v>18</v>
      </c>
      <c r="E268">
        <v>56602.39</v>
      </c>
      <c r="F268">
        <v>7969</v>
      </c>
      <c r="G268">
        <v>0.17</v>
      </c>
      <c r="H268">
        <v>21</v>
      </c>
      <c r="I268">
        <v>88.3</v>
      </c>
      <c r="J268">
        <v>2.25</v>
      </c>
      <c r="K268">
        <v>0</v>
      </c>
      <c r="L268">
        <v>3.7</v>
      </c>
      <c r="M268">
        <v>745580.51</v>
      </c>
      <c r="N268">
        <v>116273.68</v>
      </c>
    </row>
    <row r="269" spans="1:14">
      <c r="A269" t="s">
        <v>88</v>
      </c>
      <c r="B269" s="2">
        <v>45748</v>
      </c>
      <c r="C269" t="s">
        <v>15</v>
      </c>
      <c r="D269" t="s">
        <v>18</v>
      </c>
      <c r="E269">
        <v>67722.289999999994</v>
      </c>
      <c r="F269">
        <v>7240</v>
      </c>
      <c r="G269">
        <v>2.5999999999999999E-2</v>
      </c>
      <c r="H269">
        <v>15</v>
      </c>
      <c r="I269">
        <v>92.9</v>
      </c>
      <c r="J269">
        <v>0.28999999999999998</v>
      </c>
      <c r="K269">
        <v>0</v>
      </c>
      <c r="L269">
        <v>3.5</v>
      </c>
      <c r="M269">
        <v>762328.31</v>
      </c>
      <c r="N269">
        <v>159158.19</v>
      </c>
    </row>
    <row r="270" spans="1:14">
      <c r="A270" t="s">
        <v>89</v>
      </c>
      <c r="B270" s="2">
        <v>45658</v>
      </c>
      <c r="C270" t="s">
        <v>15</v>
      </c>
      <c r="D270" t="s">
        <v>28</v>
      </c>
      <c r="E270">
        <v>48752.92</v>
      </c>
      <c r="F270">
        <v>8052</v>
      </c>
      <c r="G270">
        <v>0.106</v>
      </c>
      <c r="H270">
        <v>16</v>
      </c>
      <c r="I270">
        <v>94.9</v>
      </c>
      <c r="J270">
        <v>0.65</v>
      </c>
      <c r="K270">
        <v>0</v>
      </c>
      <c r="L270">
        <v>3.6</v>
      </c>
      <c r="M270">
        <v>660633.99</v>
      </c>
      <c r="N270">
        <v>118768.66</v>
      </c>
    </row>
    <row r="271" spans="1:14">
      <c r="A271" t="s">
        <v>89</v>
      </c>
      <c r="B271" s="2">
        <v>45689</v>
      </c>
      <c r="C271" t="s">
        <v>15</v>
      </c>
      <c r="D271" t="s">
        <v>28</v>
      </c>
      <c r="E271">
        <v>23914.97</v>
      </c>
      <c r="F271">
        <v>8018</v>
      </c>
      <c r="G271">
        <v>0.13900000000000001</v>
      </c>
      <c r="H271">
        <v>20</v>
      </c>
      <c r="I271">
        <v>89</v>
      </c>
      <c r="J271">
        <v>0.2</v>
      </c>
      <c r="K271">
        <v>0</v>
      </c>
      <c r="L271">
        <v>3.5</v>
      </c>
      <c r="M271">
        <v>739374.56</v>
      </c>
      <c r="N271">
        <v>121032.29</v>
      </c>
    </row>
    <row r="272" spans="1:14">
      <c r="A272" t="s">
        <v>89</v>
      </c>
      <c r="B272" s="2">
        <v>45717</v>
      </c>
      <c r="C272" t="s">
        <v>15</v>
      </c>
      <c r="D272" t="s">
        <v>28</v>
      </c>
      <c r="E272">
        <v>61995.3</v>
      </c>
      <c r="F272">
        <v>10192</v>
      </c>
      <c r="G272">
        <v>0.19800000000000001</v>
      </c>
      <c r="H272">
        <v>21</v>
      </c>
      <c r="I272">
        <v>87.6</v>
      </c>
      <c r="J272">
        <v>3.63</v>
      </c>
      <c r="K272">
        <v>1</v>
      </c>
      <c r="L272">
        <v>3.8</v>
      </c>
      <c r="M272">
        <v>799756.46</v>
      </c>
      <c r="N272">
        <v>105052.93</v>
      </c>
    </row>
    <row r="273" spans="1:14">
      <c r="A273" t="s">
        <v>89</v>
      </c>
      <c r="B273" s="2">
        <v>45748</v>
      </c>
      <c r="C273" t="s">
        <v>15</v>
      </c>
      <c r="D273" t="s">
        <v>28</v>
      </c>
      <c r="E273">
        <v>29344.93</v>
      </c>
      <c r="F273">
        <v>7446</v>
      </c>
      <c r="G273">
        <v>0.111</v>
      </c>
      <c r="H273">
        <v>15</v>
      </c>
      <c r="I273">
        <v>86.2</v>
      </c>
      <c r="J273">
        <v>0.2</v>
      </c>
      <c r="K273">
        <v>0</v>
      </c>
      <c r="L273">
        <v>3.2</v>
      </c>
      <c r="M273">
        <v>593343</v>
      </c>
      <c r="N273">
        <v>82832.240000000005</v>
      </c>
    </row>
    <row r="274" spans="1:14">
      <c r="A274" t="s">
        <v>90</v>
      </c>
      <c r="B274" s="2">
        <v>45658</v>
      </c>
      <c r="C274" t="s">
        <v>27</v>
      </c>
      <c r="D274" t="s">
        <v>18</v>
      </c>
      <c r="E274">
        <v>50532.17</v>
      </c>
      <c r="F274">
        <v>5689</v>
      </c>
      <c r="G274">
        <v>5.1999999999999998E-2</v>
      </c>
      <c r="H274">
        <v>17</v>
      </c>
      <c r="I274">
        <v>85.6</v>
      </c>
      <c r="J274">
        <v>6.23</v>
      </c>
      <c r="K274">
        <v>0</v>
      </c>
      <c r="L274">
        <v>3.3</v>
      </c>
      <c r="M274">
        <v>645039.97</v>
      </c>
      <c r="N274">
        <v>83093.33</v>
      </c>
    </row>
    <row r="275" spans="1:14">
      <c r="A275" t="s">
        <v>90</v>
      </c>
      <c r="B275" s="2">
        <v>45689</v>
      </c>
      <c r="C275" t="s">
        <v>27</v>
      </c>
      <c r="D275" t="s">
        <v>18</v>
      </c>
      <c r="E275">
        <v>17562.57</v>
      </c>
      <c r="F275">
        <v>3326</v>
      </c>
      <c r="G275">
        <v>0.153</v>
      </c>
      <c r="H275">
        <v>14</v>
      </c>
      <c r="I275">
        <v>88.1</v>
      </c>
      <c r="J275">
        <v>1.04</v>
      </c>
      <c r="K275">
        <v>0</v>
      </c>
      <c r="L275">
        <v>3.1</v>
      </c>
      <c r="M275">
        <v>561597.32999999996</v>
      </c>
      <c r="N275">
        <v>75072.75</v>
      </c>
    </row>
    <row r="276" spans="1:14">
      <c r="A276" t="s">
        <v>90</v>
      </c>
      <c r="B276" s="2">
        <v>45717</v>
      </c>
      <c r="C276" t="s">
        <v>27</v>
      </c>
      <c r="D276" t="s">
        <v>18</v>
      </c>
      <c r="E276">
        <v>47648.71</v>
      </c>
      <c r="F276">
        <v>5767</v>
      </c>
      <c r="G276">
        <v>0.14099999999999999</v>
      </c>
      <c r="H276">
        <v>17</v>
      </c>
      <c r="I276">
        <v>89.8</v>
      </c>
      <c r="J276">
        <v>1.76</v>
      </c>
      <c r="K276">
        <v>0</v>
      </c>
      <c r="L276">
        <v>3.1</v>
      </c>
      <c r="M276">
        <v>635837.74</v>
      </c>
      <c r="N276">
        <v>114740.64</v>
      </c>
    </row>
    <row r="277" spans="1:14">
      <c r="A277" t="s">
        <v>90</v>
      </c>
      <c r="B277" s="2">
        <v>45748</v>
      </c>
      <c r="C277" t="s">
        <v>27</v>
      </c>
      <c r="D277" t="s">
        <v>18</v>
      </c>
      <c r="E277">
        <v>38297.58</v>
      </c>
      <c r="F277">
        <v>5893</v>
      </c>
      <c r="G277">
        <v>0.247</v>
      </c>
      <c r="H277">
        <v>18</v>
      </c>
      <c r="I277">
        <v>77.599999999999994</v>
      </c>
      <c r="J277">
        <v>2.86</v>
      </c>
      <c r="K277">
        <v>0</v>
      </c>
      <c r="L277">
        <v>3</v>
      </c>
      <c r="M277">
        <v>686737.87</v>
      </c>
      <c r="N277">
        <v>83839.67</v>
      </c>
    </row>
    <row r="278" spans="1:14">
      <c r="A278" t="s">
        <v>91</v>
      </c>
      <c r="B278" s="2">
        <v>45658</v>
      </c>
      <c r="C278" t="s">
        <v>24</v>
      </c>
      <c r="D278" t="s">
        <v>16</v>
      </c>
      <c r="E278">
        <v>61784.11</v>
      </c>
      <c r="F278">
        <v>8564</v>
      </c>
      <c r="G278">
        <v>0.13</v>
      </c>
      <c r="H278">
        <v>17</v>
      </c>
      <c r="I278">
        <v>87.4</v>
      </c>
      <c r="J278">
        <v>18.14</v>
      </c>
      <c r="K278">
        <v>1</v>
      </c>
      <c r="L278">
        <v>3.4</v>
      </c>
      <c r="M278">
        <v>673076.34</v>
      </c>
      <c r="N278">
        <v>93899.76</v>
      </c>
    </row>
    <row r="279" spans="1:14">
      <c r="A279" t="s">
        <v>91</v>
      </c>
      <c r="B279" s="2">
        <v>45689</v>
      </c>
      <c r="C279" t="s">
        <v>24</v>
      </c>
      <c r="D279" t="s">
        <v>16</v>
      </c>
      <c r="E279">
        <v>36832.33</v>
      </c>
      <c r="F279">
        <v>8001</v>
      </c>
      <c r="G279">
        <v>0</v>
      </c>
      <c r="H279">
        <v>19</v>
      </c>
      <c r="I279">
        <v>88.7</v>
      </c>
      <c r="J279">
        <v>3.39</v>
      </c>
      <c r="K279">
        <v>0</v>
      </c>
      <c r="L279">
        <v>4</v>
      </c>
      <c r="M279">
        <v>738548.42</v>
      </c>
      <c r="N279">
        <v>134282.76999999999</v>
      </c>
    </row>
    <row r="280" spans="1:14">
      <c r="A280" t="s">
        <v>91</v>
      </c>
      <c r="B280" s="2">
        <v>45717</v>
      </c>
      <c r="C280" t="s">
        <v>24</v>
      </c>
      <c r="D280" t="s">
        <v>16</v>
      </c>
      <c r="E280">
        <v>48609.41</v>
      </c>
      <c r="F280">
        <v>9324</v>
      </c>
      <c r="G280">
        <v>0.21299999999999999</v>
      </c>
      <c r="H280">
        <v>18</v>
      </c>
      <c r="I280">
        <v>86.5</v>
      </c>
      <c r="J280">
        <v>1.44</v>
      </c>
      <c r="K280">
        <v>0</v>
      </c>
      <c r="L280">
        <v>3.9</v>
      </c>
      <c r="M280">
        <v>756619.77</v>
      </c>
      <c r="N280">
        <v>112057.69</v>
      </c>
    </row>
    <row r="281" spans="1:14">
      <c r="A281" t="s">
        <v>91</v>
      </c>
      <c r="B281" s="2">
        <v>45748</v>
      </c>
      <c r="C281" t="s">
        <v>24</v>
      </c>
      <c r="D281" t="s">
        <v>16</v>
      </c>
      <c r="E281">
        <v>70284.06</v>
      </c>
      <c r="F281">
        <v>9109</v>
      </c>
      <c r="G281">
        <v>4.0000000000000001E-3</v>
      </c>
      <c r="H281">
        <v>23</v>
      </c>
      <c r="I281">
        <v>87</v>
      </c>
      <c r="J281">
        <v>3.65</v>
      </c>
      <c r="K281">
        <v>0</v>
      </c>
      <c r="L281">
        <v>3.7</v>
      </c>
      <c r="M281">
        <v>761122.42</v>
      </c>
      <c r="N281">
        <v>149802.04</v>
      </c>
    </row>
    <row r="282" spans="1:14">
      <c r="A282" t="s">
        <v>92</v>
      </c>
      <c r="B282" s="2">
        <v>45658</v>
      </c>
      <c r="C282" t="s">
        <v>24</v>
      </c>
      <c r="D282" t="s">
        <v>18</v>
      </c>
      <c r="E282">
        <v>45940.39</v>
      </c>
      <c r="F282">
        <v>4022</v>
      </c>
      <c r="G282">
        <v>6.9000000000000006E-2</v>
      </c>
      <c r="H282">
        <v>10</v>
      </c>
      <c r="I282">
        <v>83</v>
      </c>
      <c r="J282">
        <v>1.23</v>
      </c>
      <c r="K282">
        <v>1</v>
      </c>
      <c r="L282">
        <v>3.8</v>
      </c>
      <c r="M282">
        <v>524899.56999999995</v>
      </c>
      <c r="N282">
        <v>63619.98</v>
      </c>
    </row>
    <row r="283" spans="1:14">
      <c r="A283" t="s">
        <v>92</v>
      </c>
      <c r="B283" s="2">
        <v>45689</v>
      </c>
      <c r="C283" t="s">
        <v>24</v>
      </c>
      <c r="D283" t="s">
        <v>18</v>
      </c>
      <c r="E283">
        <v>34771.26</v>
      </c>
      <c r="F283">
        <v>4355</v>
      </c>
      <c r="G283">
        <v>5.0999999999999997E-2</v>
      </c>
      <c r="H283">
        <v>15</v>
      </c>
      <c r="I283">
        <v>87.9</v>
      </c>
      <c r="J283">
        <v>3.09</v>
      </c>
      <c r="K283">
        <v>0</v>
      </c>
      <c r="L283">
        <v>4</v>
      </c>
      <c r="M283">
        <v>555557.77</v>
      </c>
      <c r="N283">
        <v>86475.51</v>
      </c>
    </row>
    <row r="284" spans="1:14">
      <c r="A284" t="s">
        <v>92</v>
      </c>
      <c r="B284" s="2">
        <v>45717</v>
      </c>
      <c r="C284" t="s">
        <v>24</v>
      </c>
      <c r="D284" t="s">
        <v>18</v>
      </c>
      <c r="E284">
        <v>66104.19</v>
      </c>
      <c r="F284">
        <v>5745</v>
      </c>
      <c r="G284">
        <v>7.0000000000000007E-2</v>
      </c>
      <c r="H284">
        <v>17</v>
      </c>
      <c r="I284">
        <v>95.8</v>
      </c>
      <c r="J284">
        <v>3.15</v>
      </c>
      <c r="K284">
        <v>0</v>
      </c>
      <c r="L284">
        <v>4</v>
      </c>
      <c r="M284">
        <v>714083.68</v>
      </c>
      <c r="N284">
        <v>127231.74</v>
      </c>
    </row>
    <row r="285" spans="1:14">
      <c r="A285" t="s">
        <v>92</v>
      </c>
      <c r="B285" s="2">
        <v>45748</v>
      </c>
      <c r="C285" t="s">
        <v>24</v>
      </c>
      <c r="D285" t="s">
        <v>18</v>
      </c>
      <c r="E285">
        <v>18599.21</v>
      </c>
      <c r="F285">
        <v>3027</v>
      </c>
      <c r="G285">
        <v>0.122</v>
      </c>
      <c r="H285">
        <v>11</v>
      </c>
      <c r="I285">
        <v>80.900000000000006</v>
      </c>
      <c r="J285">
        <v>6.44</v>
      </c>
      <c r="K285">
        <v>0</v>
      </c>
      <c r="L285">
        <v>4.2</v>
      </c>
      <c r="M285">
        <v>497439.82</v>
      </c>
      <c r="N285">
        <v>93372.75</v>
      </c>
    </row>
    <row r="286" spans="1:14">
      <c r="A286" t="s">
        <v>93</v>
      </c>
      <c r="B286" s="2">
        <v>45658</v>
      </c>
      <c r="C286" t="s">
        <v>27</v>
      </c>
      <c r="D286" t="s">
        <v>16</v>
      </c>
      <c r="E286">
        <v>60183.06</v>
      </c>
      <c r="F286">
        <v>5562</v>
      </c>
      <c r="G286">
        <v>8.9999999999999993E-3</v>
      </c>
      <c r="H286">
        <v>13</v>
      </c>
      <c r="I286">
        <v>86.3</v>
      </c>
      <c r="J286">
        <v>0.2</v>
      </c>
      <c r="K286">
        <v>1</v>
      </c>
      <c r="L286">
        <v>4.5</v>
      </c>
      <c r="M286">
        <v>636775.66</v>
      </c>
      <c r="N286">
        <v>122636.86</v>
      </c>
    </row>
    <row r="287" spans="1:14">
      <c r="A287" t="s">
        <v>93</v>
      </c>
      <c r="B287" s="2">
        <v>45689</v>
      </c>
      <c r="C287" t="s">
        <v>27</v>
      </c>
      <c r="D287" t="s">
        <v>16</v>
      </c>
      <c r="E287">
        <v>74539.14</v>
      </c>
      <c r="F287">
        <v>4487</v>
      </c>
      <c r="G287">
        <v>0.14000000000000001</v>
      </c>
      <c r="H287">
        <v>10</v>
      </c>
      <c r="I287">
        <v>90.4</v>
      </c>
      <c r="J287">
        <v>0.59</v>
      </c>
      <c r="K287">
        <v>0</v>
      </c>
      <c r="L287">
        <v>4.5</v>
      </c>
      <c r="M287">
        <v>633009.53</v>
      </c>
      <c r="N287">
        <v>123782.67</v>
      </c>
    </row>
    <row r="288" spans="1:14">
      <c r="A288" t="s">
        <v>93</v>
      </c>
      <c r="B288" s="2">
        <v>45717</v>
      </c>
      <c r="C288" t="s">
        <v>27</v>
      </c>
      <c r="D288" t="s">
        <v>16</v>
      </c>
      <c r="E288">
        <v>55371.97</v>
      </c>
      <c r="F288">
        <v>4162</v>
      </c>
      <c r="G288">
        <v>0.183</v>
      </c>
      <c r="H288">
        <v>11</v>
      </c>
      <c r="I288">
        <v>92</v>
      </c>
      <c r="J288">
        <v>0.2</v>
      </c>
      <c r="K288">
        <v>1</v>
      </c>
      <c r="L288">
        <v>4.2</v>
      </c>
      <c r="M288">
        <v>609949</v>
      </c>
      <c r="N288">
        <v>126789.25</v>
      </c>
    </row>
    <row r="289" spans="1:14">
      <c r="A289" t="s">
        <v>93</v>
      </c>
      <c r="B289" s="2">
        <v>45748</v>
      </c>
      <c r="C289" t="s">
        <v>27</v>
      </c>
      <c r="D289" t="s">
        <v>16</v>
      </c>
      <c r="E289">
        <v>40928.69</v>
      </c>
      <c r="F289">
        <v>4094</v>
      </c>
      <c r="G289">
        <v>0.17399999999999999</v>
      </c>
      <c r="H289">
        <v>13</v>
      </c>
      <c r="I289">
        <v>82.4</v>
      </c>
      <c r="J289">
        <v>1.36</v>
      </c>
      <c r="K289">
        <v>0</v>
      </c>
      <c r="L289">
        <v>4.8</v>
      </c>
      <c r="M289">
        <v>548103.69999999995</v>
      </c>
      <c r="N289">
        <v>99905.52</v>
      </c>
    </row>
    <row r="290" spans="1:14">
      <c r="A290" t="s">
        <v>94</v>
      </c>
      <c r="B290" s="2">
        <v>45658</v>
      </c>
      <c r="C290" t="s">
        <v>15</v>
      </c>
      <c r="D290" t="s">
        <v>16</v>
      </c>
      <c r="E290">
        <v>70012.41</v>
      </c>
      <c r="F290">
        <v>8484</v>
      </c>
      <c r="G290">
        <v>0.27300000000000002</v>
      </c>
      <c r="H290">
        <v>23</v>
      </c>
      <c r="I290">
        <v>72.900000000000006</v>
      </c>
      <c r="J290">
        <v>3.34</v>
      </c>
      <c r="K290">
        <v>0</v>
      </c>
      <c r="L290">
        <v>3.7</v>
      </c>
      <c r="M290">
        <v>729424.42</v>
      </c>
      <c r="N290">
        <v>75592.28</v>
      </c>
    </row>
    <row r="291" spans="1:14">
      <c r="A291" t="s">
        <v>94</v>
      </c>
      <c r="B291" s="2">
        <v>45689</v>
      </c>
      <c r="C291" t="s">
        <v>15</v>
      </c>
      <c r="D291" t="s">
        <v>16</v>
      </c>
      <c r="E291">
        <v>68909.259999999995</v>
      </c>
      <c r="F291">
        <v>7794</v>
      </c>
      <c r="G291">
        <v>0.28399999999999997</v>
      </c>
      <c r="H291">
        <v>22</v>
      </c>
      <c r="I291">
        <v>89</v>
      </c>
      <c r="J291">
        <v>0.33</v>
      </c>
      <c r="K291">
        <v>0</v>
      </c>
      <c r="L291">
        <v>4</v>
      </c>
      <c r="M291">
        <v>696261.49</v>
      </c>
      <c r="N291">
        <v>72455.350000000006</v>
      </c>
    </row>
    <row r="292" spans="1:14">
      <c r="A292" t="s">
        <v>94</v>
      </c>
      <c r="B292" s="2">
        <v>45717</v>
      </c>
      <c r="C292" t="s">
        <v>15</v>
      </c>
      <c r="D292" t="s">
        <v>16</v>
      </c>
      <c r="E292">
        <v>56737.3</v>
      </c>
      <c r="F292">
        <v>8300</v>
      </c>
      <c r="G292">
        <v>3.2000000000000001E-2</v>
      </c>
      <c r="H292">
        <v>21</v>
      </c>
      <c r="I292">
        <v>83.2</v>
      </c>
      <c r="J292">
        <v>3.44</v>
      </c>
      <c r="K292">
        <v>1</v>
      </c>
      <c r="L292">
        <v>4.3</v>
      </c>
      <c r="M292">
        <v>813316.71</v>
      </c>
      <c r="N292">
        <v>110077.42</v>
      </c>
    </row>
    <row r="293" spans="1:14">
      <c r="A293" t="s">
        <v>94</v>
      </c>
      <c r="B293" s="2">
        <v>45748</v>
      </c>
      <c r="C293" t="s">
        <v>15</v>
      </c>
      <c r="D293" t="s">
        <v>16</v>
      </c>
      <c r="E293">
        <v>54080.91</v>
      </c>
      <c r="F293">
        <v>7083</v>
      </c>
      <c r="G293">
        <v>0</v>
      </c>
      <c r="H293">
        <v>15</v>
      </c>
      <c r="I293">
        <v>97</v>
      </c>
      <c r="J293">
        <v>5.33</v>
      </c>
      <c r="K293">
        <v>0</v>
      </c>
      <c r="L293">
        <v>4.0999999999999996</v>
      </c>
      <c r="M293">
        <v>702068.92</v>
      </c>
      <c r="N293">
        <v>111266.63</v>
      </c>
    </row>
    <row r="294" spans="1:14">
      <c r="A294" t="s">
        <v>95</v>
      </c>
      <c r="B294" s="2">
        <v>45658</v>
      </c>
      <c r="C294" t="s">
        <v>27</v>
      </c>
      <c r="D294" t="s">
        <v>18</v>
      </c>
      <c r="E294">
        <v>51996.32</v>
      </c>
      <c r="F294">
        <v>3834</v>
      </c>
      <c r="G294">
        <v>9.6000000000000002E-2</v>
      </c>
      <c r="H294">
        <v>8</v>
      </c>
      <c r="I294">
        <v>86.7</v>
      </c>
      <c r="J294">
        <v>6.04</v>
      </c>
      <c r="K294">
        <v>0</v>
      </c>
      <c r="L294">
        <v>4.5</v>
      </c>
      <c r="M294">
        <v>546223.69999999995</v>
      </c>
      <c r="N294">
        <v>100769.17</v>
      </c>
    </row>
    <row r="295" spans="1:14">
      <c r="A295" t="s">
        <v>95</v>
      </c>
      <c r="B295" s="2">
        <v>45689</v>
      </c>
      <c r="C295" t="s">
        <v>27</v>
      </c>
      <c r="D295" t="s">
        <v>18</v>
      </c>
      <c r="E295">
        <v>40102.879999999997</v>
      </c>
      <c r="F295">
        <v>2358</v>
      </c>
      <c r="G295">
        <v>0.11899999999999999</v>
      </c>
      <c r="H295">
        <v>9</v>
      </c>
      <c r="I295">
        <v>88.7</v>
      </c>
      <c r="J295">
        <v>1.6</v>
      </c>
      <c r="K295">
        <v>0</v>
      </c>
      <c r="L295">
        <v>4.2</v>
      </c>
      <c r="M295">
        <v>533121.26</v>
      </c>
      <c r="N295">
        <v>55063.39</v>
      </c>
    </row>
    <row r="296" spans="1:14">
      <c r="A296" t="s">
        <v>95</v>
      </c>
      <c r="B296" s="2">
        <v>45717</v>
      </c>
      <c r="C296" t="s">
        <v>27</v>
      </c>
      <c r="D296" t="s">
        <v>18</v>
      </c>
      <c r="E296">
        <v>59825.51</v>
      </c>
      <c r="F296">
        <v>1231</v>
      </c>
      <c r="G296">
        <v>0.214</v>
      </c>
      <c r="H296">
        <v>10</v>
      </c>
      <c r="I296">
        <v>84.8</v>
      </c>
      <c r="J296">
        <v>8.9600000000000009</v>
      </c>
      <c r="K296">
        <v>0</v>
      </c>
      <c r="L296">
        <v>4.7</v>
      </c>
      <c r="M296">
        <v>498970.32</v>
      </c>
      <c r="N296">
        <v>69656.7</v>
      </c>
    </row>
    <row r="297" spans="1:14">
      <c r="A297" t="s">
        <v>95</v>
      </c>
      <c r="B297" s="2">
        <v>45748</v>
      </c>
      <c r="C297" t="s">
        <v>27</v>
      </c>
      <c r="D297" t="s">
        <v>18</v>
      </c>
      <c r="E297">
        <v>27398.28</v>
      </c>
      <c r="F297">
        <v>1723</v>
      </c>
      <c r="G297">
        <v>0.17100000000000001</v>
      </c>
      <c r="H297">
        <v>9</v>
      </c>
      <c r="I297">
        <v>81</v>
      </c>
      <c r="J297">
        <v>0.74</v>
      </c>
      <c r="K297">
        <v>0</v>
      </c>
      <c r="L297">
        <v>4.5999999999999996</v>
      </c>
      <c r="M297">
        <v>487738.26</v>
      </c>
      <c r="N297">
        <v>96435.6</v>
      </c>
    </row>
    <row r="298" spans="1:14">
      <c r="A298" t="s">
        <v>96</v>
      </c>
      <c r="B298" s="2">
        <v>45658</v>
      </c>
      <c r="C298" t="s">
        <v>27</v>
      </c>
      <c r="D298" t="s">
        <v>18</v>
      </c>
      <c r="E298">
        <v>55599.56</v>
      </c>
      <c r="F298">
        <v>5896</v>
      </c>
      <c r="G298">
        <v>3.5999999999999997E-2</v>
      </c>
      <c r="H298">
        <v>12</v>
      </c>
      <c r="I298">
        <v>93.1</v>
      </c>
      <c r="J298">
        <v>6.13</v>
      </c>
      <c r="K298">
        <v>0</v>
      </c>
      <c r="L298">
        <v>3.3</v>
      </c>
      <c r="M298">
        <v>668459.37</v>
      </c>
      <c r="N298">
        <v>126435.42</v>
      </c>
    </row>
    <row r="299" spans="1:14">
      <c r="A299" t="s">
        <v>96</v>
      </c>
      <c r="B299" s="2">
        <v>45689</v>
      </c>
      <c r="C299" t="s">
        <v>27</v>
      </c>
      <c r="D299" t="s">
        <v>18</v>
      </c>
      <c r="E299">
        <v>55477.61</v>
      </c>
      <c r="F299">
        <v>5903</v>
      </c>
      <c r="G299">
        <v>0.10199999999999999</v>
      </c>
      <c r="H299">
        <v>14</v>
      </c>
      <c r="I299">
        <v>96.2</v>
      </c>
      <c r="J299">
        <v>1.41</v>
      </c>
      <c r="K299">
        <v>0</v>
      </c>
      <c r="L299">
        <v>3.3</v>
      </c>
      <c r="M299">
        <v>763162.45</v>
      </c>
      <c r="N299">
        <v>162524.04999999999</v>
      </c>
    </row>
    <row r="300" spans="1:14">
      <c r="A300" t="s">
        <v>96</v>
      </c>
      <c r="B300" s="2">
        <v>45717</v>
      </c>
      <c r="C300" t="s">
        <v>27</v>
      </c>
      <c r="D300" t="s">
        <v>18</v>
      </c>
      <c r="E300">
        <v>46174.7</v>
      </c>
      <c r="F300">
        <v>4898</v>
      </c>
      <c r="G300">
        <v>0.114</v>
      </c>
      <c r="H300">
        <v>11</v>
      </c>
      <c r="I300">
        <v>91.7</v>
      </c>
      <c r="J300">
        <v>3.75</v>
      </c>
      <c r="K300">
        <v>0</v>
      </c>
      <c r="L300">
        <v>3.1</v>
      </c>
      <c r="M300">
        <v>599017.32999999996</v>
      </c>
      <c r="N300">
        <v>134009.92000000001</v>
      </c>
    </row>
    <row r="301" spans="1:14">
      <c r="A301" t="s">
        <v>96</v>
      </c>
      <c r="B301" s="2">
        <v>45748</v>
      </c>
      <c r="C301" t="s">
        <v>27</v>
      </c>
      <c r="D301" t="s">
        <v>18</v>
      </c>
      <c r="E301">
        <v>24362.98</v>
      </c>
      <c r="F301">
        <v>1462</v>
      </c>
      <c r="G301">
        <v>0.11700000000000001</v>
      </c>
      <c r="H301">
        <v>6</v>
      </c>
      <c r="I301">
        <v>89.3</v>
      </c>
      <c r="J301">
        <v>15.06</v>
      </c>
      <c r="K301">
        <v>0</v>
      </c>
      <c r="L301">
        <v>3.2</v>
      </c>
      <c r="M301">
        <v>401582.58</v>
      </c>
      <c r="N301">
        <v>68454.929999999993</v>
      </c>
    </row>
    <row r="302" spans="1:14">
      <c r="A302" t="s">
        <v>97</v>
      </c>
      <c r="B302" s="2">
        <v>45658</v>
      </c>
      <c r="C302" t="s">
        <v>20</v>
      </c>
      <c r="D302" t="s">
        <v>28</v>
      </c>
      <c r="E302">
        <v>40647.67</v>
      </c>
      <c r="F302">
        <v>8252</v>
      </c>
      <c r="G302">
        <v>0.14099999999999999</v>
      </c>
      <c r="H302">
        <v>22</v>
      </c>
      <c r="I302">
        <v>88.2</v>
      </c>
      <c r="J302">
        <v>5.07</v>
      </c>
      <c r="K302">
        <v>1</v>
      </c>
      <c r="L302">
        <v>4.0999999999999996</v>
      </c>
      <c r="M302">
        <v>703812.99</v>
      </c>
      <c r="N302">
        <v>133577.98000000001</v>
      </c>
    </row>
    <row r="303" spans="1:14">
      <c r="A303" t="s">
        <v>97</v>
      </c>
      <c r="B303" s="2">
        <v>45689</v>
      </c>
      <c r="C303" t="s">
        <v>20</v>
      </c>
      <c r="D303" t="s">
        <v>28</v>
      </c>
      <c r="E303">
        <v>63986.98</v>
      </c>
      <c r="F303">
        <v>7989</v>
      </c>
      <c r="G303">
        <v>7.3999999999999996E-2</v>
      </c>
      <c r="H303">
        <v>20</v>
      </c>
      <c r="I303">
        <v>83.3</v>
      </c>
      <c r="J303">
        <v>3.6</v>
      </c>
      <c r="K303">
        <v>0</v>
      </c>
      <c r="L303">
        <v>3.7</v>
      </c>
      <c r="M303">
        <v>724346.73</v>
      </c>
      <c r="N303">
        <v>155013.91</v>
      </c>
    </row>
    <row r="304" spans="1:14">
      <c r="A304" t="s">
        <v>97</v>
      </c>
      <c r="B304" s="2">
        <v>45717</v>
      </c>
      <c r="C304" t="s">
        <v>20</v>
      </c>
      <c r="D304" t="s">
        <v>28</v>
      </c>
      <c r="E304">
        <v>52843.75</v>
      </c>
      <c r="F304">
        <v>8268</v>
      </c>
      <c r="G304">
        <v>0.13800000000000001</v>
      </c>
      <c r="H304">
        <v>19</v>
      </c>
      <c r="I304">
        <v>87.3</v>
      </c>
      <c r="J304">
        <v>4.3899999999999997</v>
      </c>
      <c r="K304">
        <v>1</v>
      </c>
      <c r="L304">
        <v>4.7</v>
      </c>
      <c r="M304">
        <v>730890.01</v>
      </c>
      <c r="N304">
        <v>105502.56</v>
      </c>
    </row>
    <row r="305" spans="1:14">
      <c r="A305" t="s">
        <v>97</v>
      </c>
      <c r="B305" s="2">
        <v>45748</v>
      </c>
      <c r="C305" t="s">
        <v>20</v>
      </c>
      <c r="D305" t="s">
        <v>28</v>
      </c>
      <c r="E305">
        <v>31997.25</v>
      </c>
      <c r="F305">
        <v>8183</v>
      </c>
      <c r="G305">
        <v>0.19800000000000001</v>
      </c>
      <c r="H305">
        <v>18</v>
      </c>
      <c r="I305">
        <v>93</v>
      </c>
      <c r="J305">
        <v>2.79</v>
      </c>
      <c r="K305">
        <v>0</v>
      </c>
      <c r="L305">
        <v>4.2</v>
      </c>
      <c r="M305">
        <v>780580.95</v>
      </c>
      <c r="N305">
        <v>138144.46</v>
      </c>
    </row>
    <row r="306" spans="1:14">
      <c r="A306" t="s">
        <v>98</v>
      </c>
      <c r="B306" s="2">
        <v>45658</v>
      </c>
      <c r="C306" t="s">
        <v>24</v>
      </c>
      <c r="D306" t="s">
        <v>16</v>
      </c>
      <c r="E306">
        <v>54948.02</v>
      </c>
      <c r="F306">
        <v>6534</v>
      </c>
      <c r="G306">
        <v>0.183</v>
      </c>
      <c r="H306">
        <v>14</v>
      </c>
      <c r="I306">
        <v>94.5</v>
      </c>
      <c r="J306">
        <v>1.56</v>
      </c>
      <c r="K306">
        <v>0</v>
      </c>
      <c r="L306">
        <v>4</v>
      </c>
      <c r="M306">
        <v>727957.48</v>
      </c>
      <c r="N306">
        <v>74805.23</v>
      </c>
    </row>
    <row r="307" spans="1:14">
      <c r="A307" t="s">
        <v>98</v>
      </c>
      <c r="B307" s="2">
        <v>45689</v>
      </c>
      <c r="C307" t="s">
        <v>24</v>
      </c>
      <c r="D307" t="s">
        <v>16</v>
      </c>
      <c r="E307">
        <v>46146.239999999998</v>
      </c>
      <c r="F307">
        <v>5804</v>
      </c>
      <c r="G307">
        <v>4.7E-2</v>
      </c>
      <c r="H307">
        <v>16</v>
      </c>
      <c r="I307">
        <v>86.9</v>
      </c>
      <c r="J307">
        <v>15.82</v>
      </c>
      <c r="K307">
        <v>0</v>
      </c>
      <c r="L307">
        <v>3.8</v>
      </c>
      <c r="M307">
        <v>538376</v>
      </c>
      <c r="N307">
        <v>87605.62</v>
      </c>
    </row>
    <row r="308" spans="1:14">
      <c r="A308" t="s">
        <v>98</v>
      </c>
      <c r="B308" s="2">
        <v>45717</v>
      </c>
      <c r="C308" t="s">
        <v>24</v>
      </c>
      <c r="D308" t="s">
        <v>16</v>
      </c>
      <c r="E308">
        <v>22387.26</v>
      </c>
      <c r="F308">
        <v>6301</v>
      </c>
      <c r="G308">
        <v>0.14599999999999999</v>
      </c>
      <c r="H308">
        <v>14</v>
      </c>
      <c r="I308">
        <v>85.9</v>
      </c>
      <c r="J308">
        <v>1.17</v>
      </c>
      <c r="K308">
        <v>1</v>
      </c>
      <c r="L308">
        <v>3.7</v>
      </c>
      <c r="M308">
        <v>665342.49</v>
      </c>
      <c r="N308">
        <v>93441.81</v>
      </c>
    </row>
    <row r="309" spans="1:14">
      <c r="A309" t="s">
        <v>98</v>
      </c>
      <c r="B309" s="2">
        <v>45748</v>
      </c>
      <c r="C309" t="s">
        <v>24</v>
      </c>
      <c r="D309" t="s">
        <v>16</v>
      </c>
      <c r="E309">
        <v>60684.05</v>
      </c>
      <c r="F309">
        <v>6399</v>
      </c>
      <c r="G309">
        <v>7.4999999999999997E-2</v>
      </c>
      <c r="H309">
        <v>16</v>
      </c>
      <c r="I309">
        <v>99</v>
      </c>
      <c r="J309">
        <v>3.82</v>
      </c>
      <c r="K309">
        <v>0</v>
      </c>
      <c r="L309">
        <v>3.5</v>
      </c>
      <c r="M309">
        <v>651164.18000000005</v>
      </c>
      <c r="N309">
        <v>109466.5</v>
      </c>
    </row>
    <row r="310" spans="1:14">
      <c r="A310" t="s">
        <v>99</v>
      </c>
      <c r="B310" s="2">
        <v>45658</v>
      </c>
      <c r="C310" t="s">
        <v>24</v>
      </c>
      <c r="D310" t="s">
        <v>18</v>
      </c>
      <c r="E310">
        <v>48465.599999999999</v>
      </c>
      <c r="F310">
        <v>5759</v>
      </c>
      <c r="G310">
        <v>0.154</v>
      </c>
      <c r="H310">
        <v>13</v>
      </c>
      <c r="I310">
        <v>87.5</v>
      </c>
      <c r="J310">
        <v>4.1399999999999997</v>
      </c>
      <c r="K310">
        <v>0</v>
      </c>
      <c r="L310">
        <v>4</v>
      </c>
      <c r="M310">
        <v>628538.30000000005</v>
      </c>
      <c r="N310">
        <v>112509.15</v>
      </c>
    </row>
    <row r="311" spans="1:14">
      <c r="A311" t="s">
        <v>99</v>
      </c>
      <c r="B311" s="2">
        <v>45689</v>
      </c>
      <c r="C311" t="s">
        <v>24</v>
      </c>
      <c r="D311" t="s">
        <v>18</v>
      </c>
      <c r="E311">
        <v>23702.38</v>
      </c>
      <c r="F311">
        <v>5285</v>
      </c>
      <c r="G311">
        <v>0.16700000000000001</v>
      </c>
      <c r="H311">
        <v>14</v>
      </c>
      <c r="I311">
        <v>79.7</v>
      </c>
      <c r="J311">
        <v>1.1000000000000001</v>
      </c>
      <c r="K311">
        <v>0</v>
      </c>
      <c r="L311">
        <v>4.3</v>
      </c>
      <c r="M311">
        <v>536524.84</v>
      </c>
      <c r="N311">
        <v>92752.94</v>
      </c>
    </row>
    <row r="312" spans="1:14">
      <c r="A312" t="s">
        <v>99</v>
      </c>
      <c r="B312" s="2">
        <v>45717</v>
      </c>
      <c r="C312" t="s">
        <v>24</v>
      </c>
      <c r="D312" t="s">
        <v>18</v>
      </c>
      <c r="E312">
        <v>54322.94</v>
      </c>
      <c r="F312">
        <v>5434</v>
      </c>
      <c r="G312">
        <v>0.2</v>
      </c>
      <c r="H312">
        <v>13</v>
      </c>
      <c r="I312">
        <v>85.7</v>
      </c>
      <c r="J312">
        <v>10.6</v>
      </c>
      <c r="K312">
        <v>0</v>
      </c>
      <c r="L312">
        <v>4.2</v>
      </c>
      <c r="M312">
        <v>621677.30000000005</v>
      </c>
      <c r="N312">
        <v>105192.52</v>
      </c>
    </row>
    <row r="313" spans="1:14">
      <c r="A313" t="s">
        <v>99</v>
      </c>
      <c r="B313" s="2">
        <v>45748</v>
      </c>
      <c r="C313" t="s">
        <v>24</v>
      </c>
      <c r="D313" t="s">
        <v>18</v>
      </c>
      <c r="E313">
        <v>86026.58</v>
      </c>
      <c r="F313">
        <v>7479</v>
      </c>
      <c r="G313">
        <v>0.14199999999999999</v>
      </c>
      <c r="H313">
        <v>20</v>
      </c>
      <c r="I313">
        <v>89</v>
      </c>
      <c r="J313">
        <v>0.9</v>
      </c>
      <c r="K313">
        <v>0</v>
      </c>
      <c r="L313">
        <v>3.9246794871794872</v>
      </c>
      <c r="M313">
        <v>771129.07</v>
      </c>
      <c r="N313">
        <v>116851.13</v>
      </c>
    </row>
    <row r="314" spans="1:14">
      <c r="A314" t="s">
        <v>100</v>
      </c>
      <c r="B314" s="2">
        <v>45658</v>
      </c>
      <c r="C314" t="s">
        <v>20</v>
      </c>
      <c r="D314" t="s">
        <v>16</v>
      </c>
      <c r="E314">
        <v>78967.520000000004</v>
      </c>
      <c r="F314">
        <v>6164</v>
      </c>
      <c r="G314">
        <v>2.1000000000000001E-2</v>
      </c>
      <c r="H314">
        <v>16</v>
      </c>
      <c r="I314">
        <v>85.5</v>
      </c>
      <c r="J314">
        <v>0.2</v>
      </c>
      <c r="K314">
        <v>0</v>
      </c>
      <c r="L314">
        <v>3.4</v>
      </c>
      <c r="M314">
        <v>702052.47</v>
      </c>
      <c r="N314">
        <v>121732.51</v>
      </c>
    </row>
    <row r="315" spans="1:14">
      <c r="A315" t="s">
        <v>100</v>
      </c>
      <c r="B315" s="2">
        <v>45689</v>
      </c>
      <c r="C315" t="s">
        <v>20</v>
      </c>
      <c r="D315" t="s">
        <v>16</v>
      </c>
      <c r="E315">
        <v>46767.99</v>
      </c>
      <c r="F315">
        <v>7973</v>
      </c>
      <c r="G315">
        <v>0.183</v>
      </c>
      <c r="H315">
        <v>18</v>
      </c>
      <c r="I315">
        <v>94.8</v>
      </c>
      <c r="J315">
        <v>4.67</v>
      </c>
      <c r="K315">
        <v>0</v>
      </c>
      <c r="L315">
        <v>3.9246794871794868</v>
      </c>
      <c r="M315">
        <v>688368.46</v>
      </c>
      <c r="N315">
        <v>93588.42</v>
      </c>
    </row>
    <row r="316" spans="1:14">
      <c r="A316" t="s">
        <v>100</v>
      </c>
      <c r="B316" s="2">
        <v>45717</v>
      </c>
      <c r="C316" t="s">
        <v>20</v>
      </c>
      <c r="D316" t="s">
        <v>16</v>
      </c>
      <c r="E316">
        <v>62507.16</v>
      </c>
      <c r="F316">
        <v>6000</v>
      </c>
      <c r="G316">
        <v>9.0999999999999998E-2</v>
      </c>
      <c r="H316">
        <v>14</v>
      </c>
      <c r="I316">
        <v>98.2</v>
      </c>
      <c r="J316">
        <v>4.38</v>
      </c>
      <c r="K316">
        <v>1</v>
      </c>
      <c r="L316">
        <v>3.9</v>
      </c>
      <c r="M316">
        <v>712375.77</v>
      </c>
      <c r="N316">
        <v>104171.53</v>
      </c>
    </row>
    <row r="317" spans="1:14">
      <c r="A317" t="s">
        <v>100</v>
      </c>
      <c r="B317" s="2">
        <v>45748</v>
      </c>
      <c r="C317" t="s">
        <v>20</v>
      </c>
      <c r="D317" t="s">
        <v>16</v>
      </c>
      <c r="E317">
        <v>66456.28</v>
      </c>
      <c r="F317">
        <v>9967</v>
      </c>
      <c r="G317">
        <v>0.108</v>
      </c>
      <c r="H317">
        <v>20</v>
      </c>
      <c r="I317">
        <v>94.7</v>
      </c>
      <c r="J317">
        <v>4.4800000000000004</v>
      </c>
      <c r="K317">
        <v>0</v>
      </c>
      <c r="L317">
        <v>4.2</v>
      </c>
      <c r="M317">
        <v>844710.67</v>
      </c>
      <c r="N317">
        <v>137140.18</v>
      </c>
    </row>
    <row r="318" spans="1:14">
      <c r="A318" t="s">
        <v>101</v>
      </c>
      <c r="B318" s="2">
        <v>45658</v>
      </c>
      <c r="C318" t="s">
        <v>15</v>
      </c>
      <c r="D318" t="s">
        <v>16</v>
      </c>
      <c r="E318">
        <v>76614.320000000007</v>
      </c>
      <c r="F318">
        <v>5639</v>
      </c>
      <c r="G318">
        <v>0.17399999999999999</v>
      </c>
      <c r="H318">
        <v>15</v>
      </c>
      <c r="I318">
        <v>92.9</v>
      </c>
      <c r="J318">
        <v>1.02</v>
      </c>
      <c r="K318">
        <v>1</v>
      </c>
      <c r="L318">
        <v>4</v>
      </c>
      <c r="M318">
        <v>620264.19999999995</v>
      </c>
      <c r="N318">
        <v>91365.64</v>
      </c>
    </row>
    <row r="319" spans="1:14">
      <c r="A319" t="s">
        <v>101</v>
      </c>
      <c r="B319" s="2">
        <v>45689</v>
      </c>
      <c r="C319" t="s">
        <v>15</v>
      </c>
      <c r="D319" t="s">
        <v>16</v>
      </c>
      <c r="E319">
        <v>24088.06</v>
      </c>
      <c r="F319">
        <v>3466</v>
      </c>
      <c r="G319">
        <v>0</v>
      </c>
      <c r="H319">
        <v>11</v>
      </c>
      <c r="I319">
        <v>88</v>
      </c>
      <c r="J319">
        <v>0.2</v>
      </c>
      <c r="K319">
        <v>0</v>
      </c>
      <c r="L319">
        <v>3.8</v>
      </c>
      <c r="M319">
        <v>536845.42000000004</v>
      </c>
      <c r="N319">
        <v>107473.75</v>
      </c>
    </row>
    <row r="320" spans="1:14">
      <c r="A320" t="s">
        <v>101</v>
      </c>
      <c r="B320" s="2">
        <v>45717</v>
      </c>
      <c r="C320" t="s">
        <v>15</v>
      </c>
      <c r="D320" t="s">
        <v>16</v>
      </c>
      <c r="E320">
        <v>81902.58</v>
      </c>
      <c r="F320">
        <v>7775</v>
      </c>
      <c r="G320">
        <v>0.215</v>
      </c>
      <c r="H320">
        <v>20</v>
      </c>
      <c r="I320">
        <v>85.2</v>
      </c>
      <c r="J320">
        <v>4.8899999999999997</v>
      </c>
      <c r="K320">
        <v>1</v>
      </c>
      <c r="L320">
        <v>4.2</v>
      </c>
      <c r="M320">
        <v>726776.22</v>
      </c>
      <c r="N320">
        <v>90804.49</v>
      </c>
    </row>
    <row r="321" spans="1:14">
      <c r="A321" t="s">
        <v>101</v>
      </c>
      <c r="B321" s="2">
        <v>45748</v>
      </c>
      <c r="C321" t="s">
        <v>15</v>
      </c>
      <c r="D321" t="s">
        <v>16</v>
      </c>
      <c r="E321">
        <v>40553.11</v>
      </c>
      <c r="F321">
        <v>5317</v>
      </c>
      <c r="G321">
        <v>0.16500000000000001</v>
      </c>
      <c r="H321">
        <v>17</v>
      </c>
      <c r="I321">
        <v>84.3</v>
      </c>
      <c r="J321">
        <v>11.82</v>
      </c>
      <c r="K321">
        <v>0</v>
      </c>
      <c r="L321">
        <v>4.0999999999999996</v>
      </c>
      <c r="M321">
        <v>559660.84</v>
      </c>
      <c r="N321">
        <v>71443.61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A1D92-87CC-4C3E-9D31-D0759C1BD22D}">
  <dimension ref="A1:I18"/>
  <sheetViews>
    <sheetView workbookViewId="0">
      <selection activeCell="B24" sqref="B24"/>
    </sheetView>
  </sheetViews>
  <sheetFormatPr defaultRowHeight="13.8"/>
  <sheetData>
    <row r="1" spans="1:9">
      <c r="A1" t="s">
        <v>136</v>
      </c>
    </row>
    <row r="2" spans="1:9" ht="14.4" thickBot="1"/>
    <row r="3" spans="1:9" ht="14.4">
      <c r="A3" s="10" t="s">
        <v>137</v>
      </c>
      <c r="B3" s="10"/>
    </row>
    <row r="4" spans="1:9">
      <c r="A4" s="7" t="s">
        <v>138</v>
      </c>
      <c r="B4" s="7">
        <v>0.40895561021322352</v>
      </c>
    </row>
    <row r="5" spans="1:9">
      <c r="A5" s="7" t="s">
        <v>139</v>
      </c>
      <c r="B5" s="7">
        <v>0.16724469112487</v>
      </c>
    </row>
    <row r="6" spans="1:9">
      <c r="A6" s="7" t="s">
        <v>140</v>
      </c>
      <c r="B6" s="7">
        <v>0.16462596373847024</v>
      </c>
    </row>
    <row r="7" spans="1:9">
      <c r="A7" s="7" t="s">
        <v>141</v>
      </c>
      <c r="B7" s="7">
        <v>94846.03383215853</v>
      </c>
    </row>
    <row r="8" spans="1:9" ht="14.4" thickBot="1">
      <c r="A8" s="8" t="s">
        <v>142</v>
      </c>
      <c r="B8" s="8">
        <v>320</v>
      </c>
    </row>
    <row r="10" spans="1:9" ht="14.4" thickBot="1">
      <c r="A10" t="s">
        <v>143</v>
      </c>
    </row>
    <row r="11" spans="1:9" ht="14.4">
      <c r="A11" s="9"/>
      <c r="B11" s="9" t="s">
        <v>148</v>
      </c>
      <c r="C11" s="9" t="s">
        <v>149</v>
      </c>
      <c r="D11" s="9" t="s">
        <v>150</v>
      </c>
      <c r="E11" s="9" t="s">
        <v>151</v>
      </c>
      <c r="F11" s="9" t="s">
        <v>152</v>
      </c>
    </row>
    <row r="12" spans="1:9">
      <c r="A12" s="7" t="s">
        <v>144</v>
      </c>
      <c r="B12" s="7">
        <v>1</v>
      </c>
      <c r="C12" s="7">
        <v>574513714277.01416</v>
      </c>
      <c r="D12" s="7">
        <v>574513714277.01416</v>
      </c>
      <c r="E12" s="7">
        <v>63.864872683367629</v>
      </c>
      <c r="F12" s="7">
        <v>2.4800615101359619E-14</v>
      </c>
    </row>
    <row r="13" spans="1:9">
      <c r="A13" s="7" t="s">
        <v>145</v>
      </c>
      <c r="B13" s="7">
        <v>318</v>
      </c>
      <c r="C13" s="7">
        <v>2860654902513.7251</v>
      </c>
      <c r="D13" s="7">
        <v>8995770133.6909599</v>
      </c>
      <c r="E13" s="7"/>
      <c r="F13" s="7"/>
    </row>
    <row r="14" spans="1:9" ht="14.4" thickBot="1">
      <c r="A14" s="8" t="s">
        <v>146</v>
      </c>
      <c r="B14" s="8">
        <v>319</v>
      </c>
      <c r="C14" s="8">
        <v>3435168616790.7393</v>
      </c>
      <c r="D14" s="8"/>
      <c r="E14" s="8"/>
      <c r="F14" s="8"/>
    </row>
    <row r="15" spans="1:9" ht="14.4" thickBot="1"/>
    <row r="16" spans="1:9" ht="14.4">
      <c r="A16" s="9"/>
      <c r="B16" s="9" t="s">
        <v>153</v>
      </c>
      <c r="C16" s="9" t="s">
        <v>141</v>
      </c>
      <c r="D16" s="9" t="s">
        <v>154</v>
      </c>
      <c r="E16" s="9" t="s">
        <v>155</v>
      </c>
      <c r="F16" s="9" t="s">
        <v>156</v>
      </c>
      <c r="G16" s="9" t="s">
        <v>157</v>
      </c>
      <c r="H16" s="9" t="s">
        <v>158</v>
      </c>
      <c r="I16" s="9" t="s">
        <v>159</v>
      </c>
    </row>
    <row r="17" spans="1:9">
      <c r="A17" s="7" t="s">
        <v>147</v>
      </c>
      <c r="B17" s="7">
        <v>560777.34544943704</v>
      </c>
      <c r="C17" s="7">
        <v>15906.905953068674</v>
      </c>
      <c r="D17" s="7">
        <v>35.253703460870398</v>
      </c>
      <c r="E17" s="7">
        <v>6.952876876284135E-112</v>
      </c>
      <c r="F17" s="7">
        <v>529481.27234763221</v>
      </c>
      <c r="G17" s="7">
        <v>592073.41855124186</v>
      </c>
      <c r="H17" s="7">
        <v>529481.27234763221</v>
      </c>
      <c r="I17" s="7">
        <v>592073.41855124186</v>
      </c>
    </row>
    <row r="18" spans="1:9" ht="14.4" thickBot="1">
      <c r="A18" s="8" t="s">
        <v>4</v>
      </c>
      <c r="B18" s="8">
        <v>2.1295753275898281</v>
      </c>
      <c r="C18" s="8">
        <v>0.26647838106932348</v>
      </c>
      <c r="D18" s="8">
        <v>7.991550080138869</v>
      </c>
      <c r="E18" s="8">
        <v>2.4800615101360068E-14</v>
      </c>
      <c r="F18" s="8">
        <v>1.6052919176921738</v>
      </c>
      <c r="G18" s="8">
        <v>2.6538587374874822</v>
      </c>
      <c r="H18" s="8">
        <v>1.6052919176921738</v>
      </c>
      <c r="I18" s="8">
        <v>2.6538587374874822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45D0B-A78F-47C4-B12D-D3B74B44C5E4}">
  <dimension ref="A1:I18"/>
  <sheetViews>
    <sheetView workbookViewId="0">
      <selection activeCell="M23" sqref="M23"/>
    </sheetView>
  </sheetViews>
  <sheetFormatPr defaultRowHeight="13.8"/>
  <sheetData>
    <row r="1" spans="1:9">
      <c r="A1" t="s">
        <v>136</v>
      </c>
    </row>
    <row r="2" spans="1:9" ht="14.4" thickBot="1"/>
    <row r="3" spans="1:9" ht="14.4">
      <c r="A3" s="10" t="s">
        <v>137</v>
      </c>
      <c r="B3" s="10"/>
    </row>
    <row r="4" spans="1:9">
      <c r="A4" s="7" t="s">
        <v>138</v>
      </c>
      <c r="B4" s="7">
        <v>0.85807070804410468</v>
      </c>
    </row>
    <row r="5" spans="1:9">
      <c r="A5" s="7" t="s">
        <v>139</v>
      </c>
      <c r="B5" s="7">
        <v>0.73628534000331114</v>
      </c>
    </row>
    <row r="6" spans="1:9">
      <c r="A6" s="7" t="s">
        <v>140</v>
      </c>
      <c r="B6" s="7">
        <v>0.73545604861967373</v>
      </c>
    </row>
    <row r="7" spans="1:9">
      <c r="A7" s="7" t="s">
        <v>141</v>
      </c>
      <c r="B7" s="7">
        <v>53373.736380790499</v>
      </c>
    </row>
    <row r="8" spans="1:9" ht="14.4" thickBot="1">
      <c r="A8" s="8" t="s">
        <v>142</v>
      </c>
      <c r="B8" s="8">
        <v>320</v>
      </c>
    </row>
    <row r="10" spans="1:9" ht="14.4" thickBot="1">
      <c r="A10" t="s">
        <v>143</v>
      </c>
    </row>
    <row r="11" spans="1:9" ht="14.4">
      <c r="A11" s="9"/>
      <c r="B11" s="9" t="s">
        <v>148</v>
      </c>
      <c r="C11" s="9" t="s">
        <v>149</v>
      </c>
      <c r="D11" s="9" t="s">
        <v>150</v>
      </c>
      <c r="E11" s="9" t="s">
        <v>151</v>
      </c>
      <c r="F11" s="9" t="s">
        <v>152</v>
      </c>
    </row>
    <row r="12" spans="1:9">
      <c r="A12" s="7" t="s">
        <v>144</v>
      </c>
      <c r="B12" s="7">
        <v>1</v>
      </c>
      <c r="C12" s="7">
        <v>2529264292982.4736</v>
      </c>
      <c r="D12" s="7">
        <v>2529264292982.4736</v>
      </c>
      <c r="E12" s="7">
        <v>887.84877611276033</v>
      </c>
      <c r="F12" s="7">
        <v>4.7503615090053331E-94</v>
      </c>
    </row>
    <row r="13" spans="1:9">
      <c r="A13" s="7" t="s">
        <v>145</v>
      </c>
      <c r="B13" s="7">
        <v>318</v>
      </c>
      <c r="C13" s="7">
        <v>905904323808.26587</v>
      </c>
      <c r="D13" s="7">
        <v>2848755735.246119</v>
      </c>
      <c r="E13" s="7"/>
      <c r="F13" s="7"/>
    </row>
    <row r="14" spans="1:9" ht="14.4" thickBot="1">
      <c r="A14" s="8" t="s">
        <v>146</v>
      </c>
      <c r="B14" s="8">
        <v>319</v>
      </c>
      <c r="C14" s="8">
        <v>3435168616790.7393</v>
      </c>
      <c r="D14" s="8"/>
      <c r="E14" s="8"/>
      <c r="F14" s="8"/>
    </row>
    <row r="15" spans="1:9" ht="14.4" thickBot="1"/>
    <row r="16" spans="1:9" ht="14.4">
      <c r="A16" s="9"/>
      <c r="B16" s="9" t="s">
        <v>153</v>
      </c>
      <c r="C16" s="9" t="s">
        <v>141</v>
      </c>
      <c r="D16" s="9" t="s">
        <v>154</v>
      </c>
      <c r="E16" s="9" t="s">
        <v>155</v>
      </c>
      <c r="F16" s="9" t="s">
        <v>156</v>
      </c>
      <c r="G16" s="9" t="s">
        <v>157</v>
      </c>
      <c r="H16" s="9" t="s">
        <v>158</v>
      </c>
      <c r="I16" s="9" t="s">
        <v>159</v>
      </c>
    </row>
    <row r="17" spans="1:9">
      <c r="A17" s="7" t="s">
        <v>147</v>
      </c>
      <c r="B17" s="7">
        <v>446410.58293395344</v>
      </c>
      <c r="C17" s="7">
        <v>8407.7382630059928</v>
      </c>
      <c r="D17" s="7">
        <v>53.095204556754318</v>
      </c>
      <c r="E17" s="7">
        <v>4.0862695711507226E-160</v>
      </c>
      <c r="F17" s="7">
        <v>429868.76191129786</v>
      </c>
      <c r="G17" s="7">
        <v>462952.40395660902</v>
      </c>
      <c r="H17" s="7">
        <v>429868.76191129786</v>
      </c>
      <c r="I17" s="7">
        <v>462952.40395660902</v>
      </c>
    </row>
    <row r="18" spans="1:9" ht="14.4" thickBot="1">
      <c r="A18" s="8" t="s">
        <v>5</v>
      </c>
      <c r="B18" s="8">
        <v>35.678031072640458</v>
      </c>
      <c r="C18" s="8">
        <v>1.1973782890340821</v>
      </c>
      <c r="D18" s="8">
        <v>29.796791372776362</v>
      </c>
      <c r="E18" s="8">
        <v>4.7503615090054677E-94</v>
      </c>
      <c r="F18" s="8">
        <v>33.322246825554025</v>
      </c>
      <c r="G18" s="8">
        <v>38.033815319726891</v>
      </c>
      <c r="H18" s="8">
        <v>33.322246825554025</v>
      </c>
      <c r="I18" s="8">
        <v>38.033815319726891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42713-C966-4B04-B31C-618E425F4E39}">
  <dimension ref="A1:T321"/>
  <sheetViews>
    <sheetView topLeftCell="B1" zoomScale="80" workbookViewId="0">
      <selection activeCell="O1" sqref="O1:Q321"/>
    </sheetView>
  </sheetViews>
  <sheetFormatPr defaultRowHeight="13.8"/>
  <cols>
    <col min="9" max="9" width="14.09765625" customWidth="1"/>
    <col min="10" max="10" width="12.3984375" customWidth="1"/>
  </cols>
  <sheetData>
    <row r="1" spans="1:20" ht="27.6">
      <c r="A1" s="1" t="s">
        <v>0</v>
      </c>
      <c r="B1" s="1" t="s">
        <v>1</v>
      </c>
      <c r="C1" s="1" t="s">
        <v>2</v>
      </c>
      <c r="D1" s="1" t="s">
        <v>3</v>
      </c>
      <c r="E1" s="1" t="s">
        <v>4</v>
      </c>
      <c r="F1" s="1" t="s">
        <v>5</v>
      </c>
      <c r="G1" s="1" t="s">
        <v>6</v>
      </c>
      <c r="H1" s="1" t="s">
        <v>7</v>
      </c>
      <c r="I1" s="1" t="s">
        <v>8</v>
      </c>
      <c r="J1" s="1" t="s">
        <v>9</v>
      </c>
      <c r="K1" s="1" t="s">
        <v>10</v>
      </c>
      <c r="L1" s="1" t="s">
        <v>11</v>
      </c>
      <c r="M1" s="1" t="s">
        <v>12</v>
      </c>
      <c r="N1" s="1" t="s">
        <v>13</v>
      </c>
      <c r="O1" s="1" t="s">
        <v>130</v>
      </c>
      <c r="P1" s="1" t="s">
        <v>131</v>
      </c>
      <c r="Q1" s="1" t="s">
        <v>132</v>
      </c>
      <c r="R1" s="1" t="s">
        <v>133</v>
      </c>
      <c r="S1" s="1" t="s">
        <v>134</v>
      </c>
      <c r="T1" s="1" t="s">
        <v>135</v>
      </c>
    </row>
    <row r="2" spans="1:20">
      <c r="A2" t="s">
        <v>14</v>
      </c>
      <c r="B2" s="2">
        <v>45658</v>
      </c>
      <c r="C2" t="s">
        <v>15</v>
      </c>
      <c r="D2" t="s">
        <v>16</v>
      </c>
      <c r="E2">
        <v>70389.11</v>
      </c>
      <c r="F2">
        <v>8302</v>
      </c>
      <c r="G2">
        <v>4.2000000000000003E-2</v>
      </c>
      <c r="H2">
        <v>17</v>
      </c>
      <c r="I2">
        <v>75</v>
      </c>
      <c r="J2">
        <v>5.28</v>
      </c>
      <c r="K2">
        <v>1</v>
      </c>
      <c r="L2">
        <v>3.1</v>
      </c>
      <c r="M2">
        <v>658832.62</v>
      </c>
      <c r="N2">
        <v>84349.93</v>
      </c>
      <c r="O2">
        <f>IF(C2="North",1,0)</f>
        <v>0</v>
      </c>
      <c r="P2">
        <f>IF(C2="South",1,0)</f>
        <v>0</v>
      </c>
      <c r="Q2">
        <f>IF(C2="West",1,0)</f>
        <v>0</v>
      </c>
      <c r="R2">
        <f>IF(D2="Airport",1,0)</f>
        <v>0</v>
      </c>
      <c r="S2">
        <f>IF(D2="High Street",1,0)</f>
        <v>0</v>
      </c>
      <c r="T2">
        <f>IF(D2="Mall",1,0)</f>
        <v>0</v>
      </c>
    </row>
    <row r="3" spans="1:20">
      <c r="A3" t="s">
        <v>14</v>
      </c>
      <c r="B3" s="2">
        <v>45689</v>
      </c>
      <c r="C3" t="s">
        <v>15</v>
      </c>
      <c r="D3" t="s">
        <v>16</v>
      </c>
      <c r="E3">
        <v>43827.89</v>
      </c>
      <c r="F3">
        <v>8487</v>
      </c>
      <c r="G3">
        <v>0.16800000000000001</v>
      </c>
      <c r="H3">
        <v>23</v>
      </c>
      <c r="I3">
        <v>84.4</v>
      </c>
      <c r="J3">
        <v>4.3099999999999996</v>
      </c>
      <c r="K3">
        <v>0</v>
      </c>
      <c r="L3">
        <v>2.8</v>
      </c>
      <c r="M3">
        <v>634436</v>
      </c>
      <c r="N3">
        <v>106130.54</v>
      </c>
      <c r="O3">
        <f t="shared" ref="O3:O66" si="0">IF(C3="North",1,0)</f>
        <v>0</v>
      </c>
      <c r="P3">
        <f t="shared" ref="P3:P66" si="1">IF(C3="South",1,0)</f>
        <v>0</v>
      </c>
      <c r="Q3">
        <f t="shared" ref="Q3:Q66" si="2">IF(C3="West",1,0)</f>
        <v>0</v>
      </c>
      <c r="R3">
        <f t="shared" ref="R3:R66" si="3">IF(D3="Airport",1,0)</f>
        <v>0</v>
      </c>
      <c r="S3">
        <f t="shared" ref="S3:S66" si="4">IF(D3="High Street",1,0)</f>
        <v>0</v>
      </c>
      <c r="T3">
        <f t="shared" ref="T3:T66" si="5">IF(D3="Mall",1,0)</f>
        <v>0</v>
      </c>
    </row>
    <row r="4" spans="1:20">
      <c r="A4" t="s">
        <v>14</v>
      </c>
      <c r="B4" s="2">
        <v>45717</v>
      </c>
      <c r="C4" t="s">
        <v>15</v>
      </c>
      <c r="D4" t="s">
        <v>16</v>
      </c>
      <c r="E4">
        <v>59921.75</v>
      </c>
      <c r="F4">
        <v>9113</v>
      </c>
      <c r="G4">
        <v>0.13300000000000001</v>
      </c>
      <c r="H4">
        <v>20</v>
      </c>
      <c r="I4">
        <v>88</v>
      </c>
      <c r="J4">
        <v>12</v>
      </c>
      <c r="K4">
        <v>0</v>
      </c>
      <c r="L4">
        <v>3.2</v>
      </c>
      <c r="M4">
        <v>678722.06</v>
      </c>
      <c r="N4">
        <v>101883.86</v>
      </c>
      <c r="O4">
        <f t="shared" si="0"/>
        <v>0</v>
      </c>
      <c r="P4">
        <f t="shared" si="1"/>
        <v>0</v>
      </c>
      <c r="Q4">
        <f t="shared" si="2"/>
        <v>0</v>
      </c>
      <c r="R4">
        <f t="shared" si="3"/>
        <v>0</v>
      </c>
      <c r="S4">
        <f t="shared" si="4"/>
        <v>0</v>
      </c>
      <c r="T4">
        <f t="shared" si="5"/>
        <v>0</v>
      </c>
    </row>
    <row r="5" spans="1:20">
      <c r="A5" t="s">
        <v>14</v>
      </c>
      <c r="B5" s="2">
        <v>45748</v>
      </c>
      <c r="C5" t="s">
        <v>15</v>
      </c>
      <c r="D5" t="s">
        <v>16</v>
      </c>
      <c r="E5">
        <v>56856.63</v>
      </c>
      <c r="F5">
        <v>9431</v>
      </c>
      <c r="G5">
        <v>0.14199999999999999</v>
      </c>
      <c r="H5">
        <v>23</v>
      </c>
      <c r="I5">
        <v>86.9</v>
      </c>
      <c r="J5">
        <v>4.97</v>
      </c>
      <c r="K5">
        <v>0</v>
      </c>
      <c r="L5">
        <v>3.4</v>
      </c>
      <c r="M5">
        <v>658920.30000000005</v>
      </c>
      <c r="N5">
        <v>97910.37</v>
      </c>
      <c r="O5">
        <f t="shared" si="0"/>
        <v>0</v>
      </c>
      <c r="P5">
        <f t="shared" si="1"/>
        <v>0</v>
      </c>
      <c r="Q5">
        <f t="shared" si="2"/>
        <v>0</v>
      </c>
      <c r="R5">
        <f t="shared" si="3"/>
        <v>0</v>
      </c>
      <c r="S5">
        <f t="shared" si="4"/>
        <v>0</v>
      </c>
      <c r="T5">
        <f t="shared" si="5"/>
        <v>0</v>
      </c>
    </row>
    <row r="6" spans="1:20">
      <c r="A6" t="s">
        <v>17</v>
      </c>
      <c r="B6" s="2">
        <v>45658</v>
      </c>
      <c r="C6" t="s">
        <v>15</v>
      </c>
      <c r="D6" t="s">
        <v>18</v>
      </c>
      <c r="E6">
        <v>48412.639999999999</v>
      </c>
      <c r="F6">
        <v>9545</v>
      </c>
      <c r="G6">
        <v>0.23100000000000001</v>
      </c>
      <c r="H6">
        <v>21</v>
      </c>
      <c r="I6">
        <v>97.6</v>
      </c>
      <c r="J6">
        <v>6.94</v>
      </c>
      <c r="K6">
        <v>1</v>
      </c>
      <c r="L6">
        <v>4.2</v>
      </c>
      <c r="M6">
        <v>741341.44</v>
      </c>
      <c r="N6">
        <v>119208.17</v>
      </c>
      <c r="O6">
        <f t="shared" si="0"/>
        <v>0</v>
      </c>
      <c r="P6">
        <f t="shared" si="1"/>
        <v>0</v>
      </c>
      <c r="Q6">
        <f t="shared" si="2"/>
        <v>0</v>
      </c>
      <c r="R6">
        <f t="shared" si="3"/>
        <v>0</v>
      </c>
      <c r="S6">
        <f t="shared" si="4"/>
        <v>1</v>
      </c>
      <c r="T6">
        <f t="shared" si="5"/>
        <v>0</v>
      </c>
    </row>
    <row r="7" spans="1:20">
      <c r="A7" t="s">
        <v>17</v>
      </c>
      <c r="B7" s="2">
        <v>45689</v>
      </c>
      <c r="C7" t="s">
        <v>15</v>
      </c>
      <c r="D7" t="s">
        <v>18</v>
      </c>
      <c r="E7">
        <v>64811.21</v>
      </c>
      <c r="F7">
        <v>9792</v>
      </c>
      <c r="G7">
        <v>0.112</v>
      </c>
      <c r="H7">
        <v>20</v>
      </c>
      <c r="I7">
        <v>84.2</v>
      </c>
      <c r="J7">
        <v>2.88</v>
      </c>
      <c r="K7">
        <v>0</v>
      </c>
      <c r="L7">
        <v>4.2</v>
      </c>
      <c r="M7">
        <v>761835.34</v>
      </c>
      <c r="N7">
        <v>149602.23000000001</v>
      </c>
      <c r="O7">
        <f t="shared" si="0"/>
        <v>0</v>
      </c>
      <c r="P7">
        <f t="shared" si="1"/>
        <v>0</v>
      </c>
      <c r="Q7">
        <f t="shared" si="2"/>
        <v>0</v>
      </c>
      <c r="R7">
        <f t="shared" si="3"/>
        <v>0</v>
      </c>
      <c r="S7">
        <f t="shared" si="4"/>
        <v>1</v>
      </c>
      <c r="T7">
        <f t="shared" si="5"/>
        <v>0</v>
      </c>
    </row>
    <row r="8" spans="1:20">
      <c r="A8" t="s">
        <v>17</v>
      </c>
      <c r="B8" s="2">
        <v>45717</v>
      </c>
      <c r="C8" t="s">
        <v>15</v>
      </c>
      <c r="D8" t="s">
        <v>18</v>
      </c>
      <c r="E8">
        <v>46213.45</v>
      </c>
      <c r="F8">
        <v>10616</v>
      </c>
      <c r="G8">
        <v>0.122</v>
      </c>
      <c r="H8">
        <v>22</v>
      </c>
      <c r="I8">
        <v>85.2</v>
      </c>
      <c r="J8">
        <v>0.2</v>
      </c>
      <c r="K8">
        <v>1</v>
      </c>
      <c r="L8">
        <v>4.0999999999999996</v>
      </c>
      <c r="M8">
        <v>806615.54</v>
      </c>
      <c r="N8">
        <v>131364.62</v>
      </c>
      <c r="O8">
        <f t="shared" si="0"/>
        <v>0</v>
      </c>
      <c r="P8">
        <f t="shared" si="1"/>
        <v>0</v>
      </c>
      <c r="Q8">
        <f t="shared" si="2"/>
        <v>0</v>
      </c>
      <c r="R8">
        <f t="shared" si="3"/>
        <v>0</v>
      </c>
      <c r="S8">
        <f t="shared" si="4"/>
        <v>1</v>
      </c>
      <c r="T8">
        <f t="shared" si="5"/>
        <v>0</v>
      </c>
    </row>
    <row r="9" spans="1:20">
      <c r="A9" t="s">
        <v>17</v>
      </c>
      <c r="B9" s="2">
        <v>45748</v>
      </c>
      <c r="C9" t="s">
        <v>15</v>
      </c>
      <c r="D9" t="s">
        <v>18</v>
      </c>
      <c r="E9">
        <v>68148.52</v>
      </c>
      <c r="F9">
        <v>8567</v>
      </c>
      <c r="G9">
        <v>0.127</v>
      </c>
      <c r="H9">
        <v>23</v>
      </c>
      <c r="I9">
        <v>95.6</v>
      </c>
      <c r="J9">
        <v>0.8</v>
      </c>
      <c r="K9">
        <v>0</v>
      </c>
      <c r="L9">
        <v>3.9</v>
      </c>
      <c r="M9">
        <v>850164.26</v>
      </c>
      <c r="N9">
        <v>149262.75</v>
      </c>
      <c r="O9">
        <f t="shared" si="0"/>
        <v>0</v>
      </c>
      <c r="P9">
        <f t="shared" si="1"/>
        <v>0</v>
      </c>
      <c r="Q9">
        <f t="shared" si="2"/>
        <v>0</v>
      </c>
      <c r="R9">
        <f t="shared" si="3"/>
        <v>0</v>
      </c>
      <c r="S9">
        <f t="shared" si="4"/>
        <v>1</v>
      </c>
      <c r="T9">
        <f t="shared" si="5"/>
        <v>0</v>
      </c>
    </row>
    <row r="10" spans="1:20">
      <c r="A10" t="s">
        <v>19</v>
      </c>
      <c r="B10" s="2">
        <v>45658</v>
      </c>
      <c r="C10" t="s">
        <v>20</v>
      </c>
      <c r="D10" t="s">
        <v>21</v>
      </c>
      <c r="E10">
        <v>71838.86</v>
      </c>
      <c r="F10">
        <v>10979</v>
      </c>
      <c r="G10">
        <v>0.215</v>
      </c>
      <c r="H10">
        <v>26</v>
      </c>
      <c r="I10">
        <v>88.6</v>
      </c>
      <c r="J10">
        <v>7.7</v>
      </c>
      <c r="K10">
        <v>1</v>
      </c>
      <c r="L10">
        <v>3.8</v>
      </c>
      <c r="M10">
        <v>930581.7</v>
      </c>
      <c r="N10">
        <v>136207.98000000001</v>
      </c>
      <c r="O10">
        <f t="shared" si="0"/>
        <v>1</v>
      </c>
      <c r="P10">
        <f t="shared" si="1"/>
        <v>0</v>
      </c>
      <c r="Q10">
        <f t="shared" si="2"/>
        <v>0</v>
      </c>
      <c r="R10">
        <f t="shared" si="3"/>
        <v>1</v>
      </c>
      <c r="S10">
        <f t="shared" si="4"/>
        <v>0</v>
      </c>
      <c r="T10">
        <f t="shared" si="5"/>
        <v>0</v>
      </c>
    </row>
    <row r="11" spans="1:20">
      <c r="A11" t="s">
        <v>19</v>
      </c>
      <c r="B11" s="2">
        <v>45689</v>
      </c>
      <c r="C11" t="s">
        <v>20</v>
      </c>
      <c r="D11" t="s">
        <v>21</v>
      </c>
      <c r="E11">
        <v>68133.440000000002</v>
      </c>
      <c r="F11">
        <v>9459</v>
      </c>
      <c r="G11">
        <v>0.22</v>
      </c>
      <c r="H11">
        <v>21</v>
      </c>
      <c r="I11">
        <v>85</v>
      </c>
      <c r="J11">
        <v>1.91</v>
      </c>
      <c r="K11">
        <v>0</v>
      </c>
      <c r="L11">
        <v>4.2</v>
      </c>
      <c r="M11">
        <v>779010.94</v>
      </c>
      <c r="N11">
        <v>106328.09</v>
      </c>
      <c r="O11">
        <f t="shared" si="0"/>
        <v>1</v>
      </c>
      <c r="P11">
        <f t="shared" si="1"/>
        <v>0</v>
      </c>
      <c r="Q11">
        <f t="shared" si="2"/>
        <v>0</v>
      </c>
      <c r="R11">
        <f t="shared" si="3"/>
        <v>1</v>
      </c>
      <c r="S11">
        <f t="shared" si="4"/>
        <v>0</v>
      </c>
      <c r="T11">
        <f t="shared" si="5"/>
        <v>0</v>
      </c>
    </row>
    <row r="12" spans="1:20">
      <c r="A12" t="s">
        <v>19</v>
      </c>
      <c r="B12" s="2">
        <v>45717</v>
      </c>
      <c r="C12" t="s">
        <v>20</v>
      </c>
      <c r="D12" t="s">
        <v>21</v>
      </c>
      <c r="E12">
        <v>34285.21</v>
      </c>
      <c r="F12">
        <v>9172</v>
      </c>
      <c r="G12">
        <v>0.21299999999999999</v>
      </c>
      <c r="H12">
        <v>22</v>
      </c>
      <c r="I12">
        <v>88.3</v>
      </c>
      <c r="J12">
        <v>10.46</v>
      </c>
      <c r="K12">
        <v>1</v>
      </c>
      <c r="L12">
        <v>3.8</v>
      </c>
      <c r="M12">
        <v>723060.76</v>
      </c>
      <c r="N12">
        <v>123131.24</v>
      </c>
      <c r="O12">
        <f t="shared" si="0"/>
        <v>1</v>
      </c>
      <c r="P12">
        <f t="shared" si="1"/>
        <v>0</v>
      </c>
      <c r="Q12">
        <f t="shared" si="2"/>
        <v>0</v>
      </c>
      <c r="R12">
        <f t="shared" si="3"/>
        <v>1</v>
      </c>
      <c r="S12">
        <f t="shared" si="4"/>
        <v>0</v>
      </c>
      <c r="T12">
        <f t="shared" si="5"/>
        <v>0</v>
      </c>
    </row>
    <row r="13" spans="1:20">
      <c r="A13" t="s">
        <v>19</v>
      </c>
      <c r="B13" s="2">
        <v>45748</v>
      </c>
      <c r="C13" t="s">
        <v>20</v>
      </c>
      <c r="D13" t="s">
        <v>21</v>
      </c>
      <c r="E13">
        <v>67979.88</v>
      </c>
      <c r="F13">
        <v>11230</v>
      </c>
      <c r="G13">
        <v>2E-3</v>
      </c>
      <c r="H13">
        <v>28</v>
      </c>
      <c r="I13">
        <v>85.3</v>
      </c>
      <c r="J13">
        <v>7.16</v>
      </c>
      <c r="K13">
        <v>0</v>
      </c>
      <c r="L13">
        <v>3.8</v>
      </c>
      <c r="M13">
        <v>910791.94</v>
      </c>
      <c r="N13">
        <v>158891.28</v>
      </c>
      <c r="O13">
        <f t="shared" si="0"/>
        <v>1</v>
      </c>
      <c r="P13">
        <f t="shared" si="1"/>
        <v>0</v>
      </c>
      <c r="Q13">
        <f t="shared" si="2"/>
        <v>0</v>
      </c>
      <c r="R13">
        <f t="shared" si="3"/>
        <v>1</v>
      </c>
      <c r="S13">
        <f t="shared" si="4"/>
        <v>0</v>
      </c>
      <c r="T13">
        <f t="shared" si="5"/>
        <v>0</v>
      </c>
    </row>
    <row r="14" spans="1:20">
      <c r="A14" t="s">
        <v>22</v>
      </c>
      <c r="B14" s="2">
        <v>45658</v>
      </c>
      <c r="C14" t="s">
        <v>15</v>
      </c>
      <c r="D14" t="s">
        <v>16</v>
      </c>
      <c r="E14">
        <v>71828.259999999995</v>
      </c>
      <c r="F14">
        <v>12775</v>
      </c>
      <c r="G14">
        <v>0.11600000000000001</v>
      </c>
      <c r="H14">
        <v>30</v>
      </c>
      <c r="I14">
        <v>81.7</v>
      </c>
      <c r="J14">
        <v>4.24</v>
      </c>
      <c r="K14">
        <v>1</v>
      </c>
      <c r="L14">
        <v>4.2</v>
      </c>
      <c r="M14">
        <v>922168.6</v>
      </c>
      <c r="N14">
        <v>107494.53</v>
      </c>
      <c r="O14">
        <f t="shared" si="0"/>
        <v>0</v>
      </c>
      <c r="P14">
        <f t="shared" si="1"/>
        <v>0</v>
      </c>
      <c r="Q14">
        <f t="shared" si="2"/>
        <v>0</v>
      </c>
      <c r="R14">
        <f t="shared" si="3"/>
        <v>0</v>
      </c>
      <c r="S14">
        <f t="shared" si="4"/>
        <v>0</v>
      </c>
      <c r="T14">
        <f t="shared" si="5"/>
        <v>0</v>
      </c>
    </row>
    <row r="15" spans="1:20">
      <c r="A15" t="s">
        <v>22</v>
      </c>
      <c r="B15" s="2">
        <v>45689</v>
      </c>
      <c r="C15" t="s">
        <v>15</v>
      </c>
      <c r="D15" t="s">
        <v>16</v>
      </c>
      <c r="E15">
        <v>55716.82</v>
      </c>
      <c r="F15">
        <v>10054</v>
      </c>
      <c r="G15">
        <v>0.14599999999999999</v>
      </c>
      <c r="H15">
        <v>24</v>
      </c>
      <c r="I15">
        <v>84.9</v>
      </c>
      <c r="J15">
        <v>1.06</v>
      </c>
      <c r="K15">
        <v>0</v>
      </c>
      <c r="L15">
        <v>4.3</v>
      </c>
      <c r="M15">
        <v>726606.28</v>
      </c>
      <c r="N15">
        <v>122729.29</v>
      </c>
      <c r="O15">
        <f t="shared" si="0"/>
        <v>0</v>
      </c>
      <c r="P15">
        <f t="shared" si="1"/>
        <v>0</v>
      </c>
      <c r="Q15">
        <f t="shared" si="2"/>
        <v>0</v>
      </c>
      <c r="R15">
        <f t="shared" si="3"/>
        <v>0</v>
      </c>
      <c r="S15">
        <f t="shared" si="4"/>
        <v>0</v>
      </c>
      <c r="T15">
        <f t="shared" si="5"/>
        <v>0</v>
      </c>
    </row>
    <row r="16" spans="1:20">
      <c r="A16" t="s">
        <v>22</v>
      </c>
      <c r="B16" s="2">
        <v>45717</v>
      </c>
      <c r="C16" t="s">
        <v>15</v>
      </c>
      <c r="D16" t="s">
        <v>16</v>
      </c>
      <c r="E16">
        <v>59909.51</v>
      </c>
      <c r="F16">
        <v>8895</v>
      </c>
      <c r="G16">
        <v>0.22800000000000001</v>
      </c>
      <c r="H16">
        <v>23</v>
      </c>
      <c r="I16">
        <v>88.8</v>
      </c>
      <c r="J16">
        <v>0.27</v>
      </c>
      <c r="K16">
        <v>0</v>
      </c>
      <c r="L16">
        <v>4.3</v>
      </c>
      <c r="M16">
        <v>746501.09</v>
      </c>
      <c r="N16">
        <v>136816.72</v>
      </c>
      <c r="O16">
        <f t="shared" si="0"/>
        <v>0</v>
      </c>
      <c r="P16">
        <f t="shared" si="1"/>
        <v>0</v>
      </c>
      <c r="Q16">
        <f t="shared" si="2"/>
        <v>0</v>
      </c>
      <c r="R16">
        <f t="shared" si="3"/>
        <v>0</v>
      </c>
      <c r="S16">
        <f t="shared" si="4"/>
        <v>0</v>
      </c>
      <c r="T16">
        <f t="shared" si="5"/>
        <v>0</v>
      </c>
    </row>
    <row r="17" spans="1:20">
      <c r="A17" t="s">
        <v>22</v>
      </c>
      <c r="B17" s="2">
        <v>45748</v>
      </c>
      <c r="C17" t="s">
        <v>15</v>
      </c>
      <c r="D17" t="s">
        <v>16</v>
      </c>
      <c r="E17">
        <v>75305.710000000006</v>
      </c>
      <c r="F17">
        <v>10940</v>
      </c>
      <c r="G17">
        <v>6.0000000000000001E-3</v>
      </c>
      <c r="H17">
        <v>26</v>
      </c>
      <c r="I17">
        <v>76.5</v>
      </c>
      <c r="J17">
        <v>1.32</v>
      </c>
      <c r="K17">
        <v>0</v>
      </c>
      <c r="L17">
        <v>4.5</v>
      </c>
      <c r="M17">
        <v>834017.02</v>
      </c>
      <c r="N17">
        <v>114745.03</v>
      </c>
      <c r="O17">
        <f t="shared" si="0"/>
        <v>0</v>
      </c>
      <c r="P17">
        <f t="shared" si="1"/>
        <v>0</v>
      </c>
      <c r="Q17">
        <f t="shared" si="2"/>
        <v>0</v>
      </c>
      <c r="R17">
        <f t="shared" si="3"/>
        <v>0</v>
      </c>
      <c r="S17">
        <f t="shared" si="4"/>
        <v>0</v>
      </c>
      <c r="T17">
        <f t="shared" si="5"/>
        <v>0</v>
      </c>
    </row>
    <row r="18" spans="1:20">
      <c r="A18" t="s">
        <v>23</v>
      </c>
      <c r="B18" s="2">
        <v>45658</v>
      </c>
      <c r="C18" t="s">
        <v>24</v>
      </c>
      <c r="D18" t="s">
        <v>16</v>
      </c>
      <c r="E18">
        <v>48804.22</v>
      </c>
      <c r="F18">
        <v>7057</v>
      </c>
      <c r="G18">
        <v>5.0000000000000001E-3</v>
      </c>
      <c r="H18">
        <v>15</v>
      </c>
      <c r="I18">
        <v>87.7</v>
      </c>
      <c r="J18">
        <v>1.22</v>
      </c>
      <c r="K18">
        <v>0</v>
      </c>
      <c r="L18">
        <v>3.7</v>
      </c>
      <c r="M18">
        <v>666152.52</v>
      </c>
      <c r="N18">
        <v>107490.58</v>
      </c>
      <c r="O18">
        <f t="shared" si="0"/>
        <v>0</v>
      </c>
      <c r="P18">
        <f t="shared" si="1"/>
        <v>1</v>
      </c>
      <c r="Q18">
        <f t="shared" si="2"/>
        <v>0</v>
      </c>
      <c r="R18">
        <f t="shared" si="3"/>
        <v>0</v>
      </c>
      <c r="S18">
        <f t="shared" si="4"/>
        <v>0</v>
      </c>
      <c r="T18">
        <f t="shared" si="5"/>
        <v>0</v>
      </c>
    </row>
    <row r="19" spans="1:20">
      <c r="A19" t="s">
        <v>23</v>
      </c>
      <c r="B19" s="2">
        <v>45689</v>
      </c>
      <c r="C19" t="s">
        <v>24</v>
      </c>
      <c r="D19" t="s">
        <v>16</v>
      </c>
      <c r="E19">
        <v>59117.9</v>
      </c>
      <c r="F19">
        <v>4263</v>
      </c>
      <c r="G19">
        <v>0.11899999999999999</v>
      </c>
      <c r="H19">
        <v>9</v>
      </c>
      <c r="I19">
        <v>87.6</v>
      </c>
      <c r="J19">
        <v>4.01</v>
      </c>
      <c r="K19">
        <v>0</v>
      </c>
      <c r="L19">
        <v>3.6</v>
      </c>
      <c r="M19">
        <v>573155.18999999994</v>
      </c>
      <c r="N19">
        <v>83680.75</v>
      </c>
      <c r="O19">
        <f t="shared" si="0"/>
        <v>0</v>
      </c>
      <c r="P19">
        <f t="shared" si="1"/>
        <v>1</v>
      </c>
      <c r="Q19">
        <f t="shared" si="2"/>
        <v>0</v>
      </c>
      <c r="R19">
        <f t="shared" si="3"/>
        <v>0</v>
      </c>
      <c r="S19">
        <f t="shared" si="4"/>
        <v>0</v>
      </c>
      <c r="T19">
        <f t="shared" si="5"/>
        <v>0</v>
      </c>
    </row>
    <row r="20" spans="1:20">
      <c r="A20" t="s">
        <v>23</v>
      </c>
      <c r="B20" s="2">
        <v>45717</v>
      </c>
      <c r="C20" t="s">
        <v>24</v>
      </c>
      <c r="D20" t="s">
        <v>16</v>
      </c>
      <c r="E20">
        <v>78831.12</v>
      </c>
      <c r="F20">
        <v>5538</v>
      </c>
      <c r="G20">
        <v>0</v>
      </c>
      <c r="H20">
        <v>15</v>
      </c>
      <c r="I20">
        <v>94.1</v>
      </c>
      <c r="J20">
        <v>0.2</v>
      </c>
      <c r="K20">
        <v>0</v>
      </c>
      <c r="L20">
        <v>3.9</v>
      </c>
      <c r="M20">
        <v>666573.19999999995</v>
      </c>
      <c r="N20">
        <v>140641.01999999999</v>
      </c>
      <c r="O20">
        <f t="shared" si="0"/>
        <v>0</v>
      </c>
      <c r="P20">
        <f t="shared" si="1"/>
        <v>1</v>
      </c>
      <c r="Q20">
        <f t="shared" si="2"/>
        <v>0</v>
      </c>
      <c r="R20">
        <f t="shared" si="3"/>
        <v>0</v>
      </c>
      <c r="S20">
        <f t="shared" si="4"/>
        <v>0</v>
      </c>
      <c r="T20">
        <f t="shared" si="5"/>
        <v>0</v>
      </c>
    </row>
    <row r="21" spans="1:20">
      <c r="A21" t="s">
        <v>23</v>
      </c>
      <c r="B21" s="2">
        <v>45748</v>
      </c>
      <c r="C21" t="s">
        <v>24</v>
      </c>
      <c r="D21" t="s">
        <v>16</v>
      </c>
      <c r="E21">
        <v>41441.93</v>
      </c>
      <c r="F21">
        <v>4865</v>
      </c>
      <c r="G21">
        <v>0.158</v>
      </c>
      <c r="H21">
        <v>16</v>
      </c>
      <c r="I21">
        <v>88.3</v>
      </c>
      <c r="J21">
        <v>0.5</v>
      </c>
      <c r="K21">
        <v>0</v>
      </c>
      <c r="L21">
        <v>4</v>
      </c>
      <c r="M21">
        <v>591619.94999999995</v>
      </c>
      <c r="N21">
        <v>99521.35</v>
      </c>
      <c r="O21">
        <f t="shared" si="0"/>
        <v>0</v>
      </c>
      <c r="P21">
        <f t="shared" si="1"/>
        <v>1</v>
      </c>
      <c r="Q21">
        <f t="shared" si="2"/>
        <v>0</v>
      </c>
      <c r="R21">
        <f t="shared" si="3"/>
        <v>0</v>
      </c>
      <c r="S21">
        <f t="shared" si="4"/>
        <v>0</v>
      </c>
      <c r="T21">
        <f t="shared" si="5"/>
        <v>0</v>
      </c>
    </row>
    <row r="22" spans="1:20">
      <c r="A22" t="s">
        <v>25</v>
      </c>
      <c r="B22" s="2">
        <v>45658</v>
      </c>
      <c r="C22" t="s">
        <v>20</v>
      </c>
      <c r="D22" t="s">
        <v>16</v>
      </c>
      <c r="E22">
        <v>30356.28</v>
      </c>
      <c r="F22">
        <v>2822</v>
      </c>
      <c r="G22">
        <v>0.23100000000000001</v>
      </c>
      <c r="H22">
        <v>9</v>
      </c>
      <c r="I22">
        <v>84.8</v>
      </c>
      <c r="J22">
        <v>6.95</v>
      </c>
      <c r="K22">
        <v>0</v>
      </c>
      <c r="L22">
        <v>5</v>
      </c>
      <c r="M22">
        <v>415721.82</v>
      </c>
      <c r="N22">
        <v>61179.15</v>
      </c>
      <c r="O22">
        <f t="shared" si="0"/>
        <v>1</v>
      </c>
      <c r="P22">
        <f t="shared" si="1"/>
        <v>0</v>
      </c>
      <c r="Q22">
        <f t="shared" si="2"/>
        <v>0</v>
      </c>
      <c r="R22">
        <f t="shared" si="3"/>
        <v>0</v>
      </c>
      <c r="S22">
        <f t="shared" si="4"/>
        <v>0</v>
      </c>
      <c r="T22">
        <f t="shared" si="5"/>
        <v>0</v>
      </c>
    </row>
    <row r="23" spans="1:20">
      <c r="A23" t="s">
        <v>25</v>
      </c>
      <c r="B23" s="2">
        <v>45689</v>
      </c>
      <c r="C23" t="s">
        <v>20</v>
      </c>
      <c r="D23" t="s">
        <v>16</v>
      </c>
      <c r="E23">
        <v>33518.879999999997</v>
      </c>
      <c r="F23">
        <v>2121</v>
      </c>
      <c r="G23">
        <v>0.17599999999999999</v>
      </c>
      <c r="H23">
        <v>8</v>
      </c>
      <c r="I23">
        <v>88.5</v>
      </c>
      <c r="J23">
        <v>0.2</v>
      </c>
      <c r="K23">
        <v>0</v>
      </c>
      <c r="L23">
        <v>5</v>
      </c>
      <c r="M23">
        <v>491905.13</v>
      </c>
      <c r="N23">
        <v>79212.259999999995</v>
      </c>
      <c r="O23">
        <f t="shared" si="0"/>
        <v>1</v>
      </c>
      <c r="P23">
        <f t="shared" si="1"/>
        <v>0</v>
      </c>
      <c r="Q23">
        <f t="shared" si="2"/>
        <v>0</v>
      </c>
      <c r="R23">
        <f t="shared" si="3"/>
        <v>0</v>
      </c>
      <c r="S23">
        <f t="shared" si="4"/>
        <v>0</v>
      </c>
      <c r="T23">
        <f t="shared" si="5"/>
        <v>0</v>
      </c>
    </row>
    <row r="24" spans="1:20">
      <c r="A24" t="s">
        <v>25</v>
      </c>
      <c r="B24" s="2">
        <v>45717</v>
      </c>
      <c r="C24" t="s">
        <v>20</v>
      </c>
      <c r="D24" t="s">
        <v>16</v>
      </c>
      <c r="E24">
        <v>42267.37</v>
      </c>
      <c r="F24">
        <v>3364</v>
      </c>
      <c r="G24">
        <v>0.16</v>
      </c>
      <c r="H24">
        <v>13</v>
      </c>
      <c r="I24">
        <v>82</v>
      </c>
      <c r="J24">
        <v>1.61</v>
      </c>
      <c r="K24">
        <v>1</v>
      </c>
      <c r="L24">
        <v>4.5999999999999996</v>
      </c>
      <c r="M24">
        <v>555929.4</v>
      </c>
      <c r="N24">
        <v>115201.76</v>
      </c>
      <c r="O24">
        <f t="shared" si="0"/>
        <v>1</v>
      </c>
      <c r="P24">
        <f t="shared" si="1"/>
        <v>0</v>
      </c>
      <c r="Q24">
        <f t="shared" si="2"/>
        <v>0</v>
      </c>
      <c r="R24">
        <f t="shared" si="3"/>
        <v>0</v>
      </c>
      <c r="S24">
        <f t="shared" si="4"/>
        <v>0</v>
      </c>
      <c r="T24">
        <f t="shared" si="5"/>
        <v>0</v>
      </c>
    </row>
    <row r="25" spans="1:20">
      <c r="A25" t="s">
        <v>25</v>
      </c>
      <c r="B25" s="2">
        <v>45748</v>
      </c>
      <c r="C25" t="s">
        <v>20</v>
      </c>
      <c r="D25" t="s">
        <v>16</v>
      </c>
      <c r="E25">
        <v>62060.43</v>
      </c>
      <c r="F25">
        <v>2613</v>
      </c>
      <c r="G25">
        <v>0.216</v>
      </c>
      <c r="H25">
        <v>12</v>
      </c>
      <c r="I25">
        <v>92.1</v>
      </c>
      <c r="J25">
        <v>1.55</v>
      </c>
      <c r="K25">
        <v>0</v>
      </c>
      <c r="L25">
        <v>4.7</v>
      </c>
      <c r="M25">
        <v>565810.99</v>
      </c>
      <c r="N25">
        <v>77825.460000000006</v>
      </c>
      <c r="O25">
        <f t="shared" si="0"/>
        <v>1</v>
      </c>
      <c r="P25">
        <f t="shared" si="1"/>
        <v>0</v>
      </c>
      <c r="Q25">
        <f t="shared" si="2"/>
        <v>0</v>
      </c>
      <c r="R25">
        <f t="shared" si="3"/>
        <v>0</v>
      </c>
      <c r="S25">
        <f t="shared" si="4"/>
        <v>0</v>
      </c>
      <c r="T25">
        <f t="shared" si="5"/>
        <v>0</v>
      </c>
    </row>
    <row r="26" spans="1:20">
      <c r="A26" t="s">
        <v>26</v>
      </c>
      <c r="B26" s="2">
        <v>45658</v>
      </c>
      <c r="C26" t="s">
        <v>27</v>
      </c>
      <c r="D26" t="s">
        <v>28</v>
      </c>
      <c r="E26">
        <v>57696.69</v>
      </c>
      <c r="F26">
        <v>10218</v>
      </c>
      <c r="G26">
        <v>0.121</v>
      </c>
      <c r="H26">
        <v>25</v>
      </c>
      <c r="I26">
        <v>94.8</v>
      </c>
      <c r="J26">
        <v>2.99</v>
      </c>
      <c r="K26">
        <v>0</v>
      </c>
      <c r="L26">
        <v>3.5</v>
      </c>
      <c r="M26">
        <v>811771.14</v>
      </c>
      <c r="N26">
        <v>148756.24</v>
      </c>
      <c r="O26">
        <f t="shared" si="0"/>
        <v>0</v>
      </c>
      <c r="P26">
        <f t="shared" si="1"/>
        <v>0</v>
      </c>
      <c r="Q26">
        <f t="shared" si="2"/>
        <v>1</v>
      </c>
      <c r="R26">
        <f t="shared" si="3"/>
        <v>0</v>
      </c>
      <c r="S26">
        <f t="shared" si="4"/>
        <v>0</v>
      </c>
      <c r="T26">
        <f t="shared" si="5"/>
        <v>1</v>
      </c>
    </row>
    <row r="27" spans="1:20">
      <c r="A27" t="s">
        <v>26</v>
      </c>
      <c r="B27" s="2">
        <v>45689</v>
      </c>
      <c r="C27" t="s">
        <v>27</v>
      </c>
      <c r="D27" t="s">
        <v>28</v>
      </c>
      <c r="E27">
        <v>172415.52</v>
      </c>
      <c r="F27">
        <v>8927</v>
      </c>
      <c r="G27">
        <v>0.14000000000000001</v>
      </c>
      <c r="H27">
        <v>22</v>
      </c>
      <c r="I27">
        <v>86.2</v>
      </c>
      <c r="J27">
        <v>7.04</v>
      </c>
      <c r="K27">
        <v>0</v>
      </c>
      <c r="L27">
        <v>3.9</v>
      </c>
      <c r="M27">
        <v>800451.94</v>
      </c>
      <c r="N27">
        <v>111572.29</v>
      </c>
      <c r="O27">
        <f t="shared" si="0"/>
        <v>0</v>
      </c>
      <c r="P27">
        <f t="shared" si="1"/>
        <v>0</v>
      </c>
      <c r="Q27">
        <f t="shared" si="2"/>
        <v>1</v>
      </c>
      <c r="R27">
        <f t="shared" si="3"/>
        <v>0</v>
      </c>
      <c r="S27">
        <f t="shared" si="4"/>
        <v>0</v>
      </c>
      <c r="T27">
        <f t="shared" si="5"/>
        <v>1</v>
      </c>
    </row>
    <row r="28" spans="1:20">
      <c r="A28" t="s">
        <v>26</v>
      </c>
      <c r="B28" s="2">
        <v>45717</v>
      </c>
      <c r="C28" t="s">
        <v>27</v>
      </c>
      <c r="D28" t="s">
        <v>28</v>
      </c>
      <c r="E28">
        <v>55270.52</v>
      </c>
      <c r="F28">
        <v>9315</v>
      </c>
      <c r="G28">
        <v>0.16900000000000001</v>
      </c>
      <c r="H28">
        <v>23</v>
      </c>
      <c r="I28">
        <v>91.9</v>
      </c>
      <c r="J28">
        <v>4.9400000000000004</v>
      </c>
      <c r="K28">
        <v>0</v>
      </c>
      <c r="L28">
        <v>4</v>
      </c>
      <c r="M28">
        <v>783672.82</v>
      </c>
      <c r="N28">
        <v>112577.14</v>
      </c>
      <c r="O28">
        <f t="shared" si="0"/>
        <v>0</v>
      </c>
      <c r="P28">
        <f t="shared" si="1"/>
        <v>0</v>
      </c>
      <c r="Q28">
        <f t="shared" si="2"/>
        <v>1</v>
      </c>
      <c r="R28">
        <f t="shared" si="3"/>
        <v>0</v>
      </c>
      <c r="S28">
        <f t="shared" si="4"/>
        <v>0</v>
      </c>
      <c r="T28">
        <f t="shared" si="5"/>
        <v>1</v>
      </c>
    </row>
    <row r="29" spans="1:20">
      <c r="A29" t="s">
        <v>26</v>
      </c>
      <c r="B29" s="2">
        <v>45748</v>
      </c>
      <c r="C29" t="s">
        <v>27</v>
      </c>
      <c r="D29" t="s">
        <v>28</v>
      </c>
      <c r="E29">
        <v>52715.1</v>
      </c>
      <c r="F29">
        <v>7223</v>
      </c>
      <c r="G29">
        <v>0.122</v>
      </c>
      <c r="H29">
        <v>16</v>
      </c>
      <c r="I29">
        <v>84.2</v>
      </c>
      <c r="J29">
        <v>16.149999999999999</v>
      </c>
      <c r="K29">
        <v>0</v>
      </c>
      <c r="L29">
        <v>3.7</v>
      </c>
      <c r="M29">
        <v>701641.97</v>
      </c>
      <c r="N29">
        <v>106111.86</v>
      </c>
      <c r="O29">
        <f t="shared" si="0"/>
        <v>0</v>
      </c>
      <c r="P29">
        <f t="shared" si="1"/>
        <v>0</v>
      </c>
      <c r="Q29">
        <f t="shared" si="2"/>
        <v>1</v>
      </c>
      <c r="R29">
        <f t="shared" si="3"/>
        <v>0</v>
      </c>
      <c r="S29">
        <f t="shared" si="4"/>
        <v>0</v>
      </c>
      <c r="T29">
        <f t="shared" si="5"/>
        <v>1</v>
      </c>
    </row>
    <row r="30" spans="1:20">
      <c r="A30" t="s">
        <v>29</v>
      </c>
      <c r="B30" s="2">
        <v>45658</v>
      </c>
      <c r="C30" t="s">
        <v>15</v>
      </c>
      <c r="D30" t="s">
        <v>16</v>
      </c>
      <c r="E30">
        <v>68600.62</v>
      </c>
      <c r="F30">
        <v>3988</v>
      </c>
      <c r="G30">
        <v>0.124</v>
      </c>
      <c r="H30">
        <v>11</v>
      </c>
      <c r="I30">
        <v>85</v>
      </c>
      <c r="J30">
        <v>0.48</v>
      </c>
      <c r="K30">
        <v>0</v>
      </c>
      <c r="L30">
        <v>3.6</v>
      </c>
      <c r="M30">
        <v>511844.41</v>
      </c>
      <c r="N30">
        <v>72774.44</v>
      </c>
      <c r="O30">
        <f t="shared" si="0"/>
        <v>0</v>
      </c>
      <c r="P30">
        <f t="shared" si="1"/>
        <v>0</v>
      </c>
      <c r="Q30">
        <f t="shared" si="2"/>
        <v>0</v>
      </c>
      <c r="R30">
        <f t="shared" si="3"/>
        <v>0</v>
      </c>
      <c r="S30">
        <f t="shared" si="4"/>
        <v>0</v>
      </c>
      <c r="T30">
        <f t="shared" si="5"/>
        <v>0</v>
      </c>
    </row>
    <row r="31" spans="1:20">
      <c r="A31" t="s">
        <v>29</v>
      </c>
      <c r="B31" s="2">
        <v>45689</v>
      </c>
      <c r="C31" t="s">
        <v>15</v>
      </c>
      <c r="D31" t="s">
        <v>16</v>
      </c>
      <c r="E31">
        <v>63176.73</v>
      </c>
      <c r="F31">
        <v>2390</v>
      </c>
      <c r="G31">
        <v>0.216</v>
      </c>
      <c r="H31">
        <v>9</v>
      </c>
      <c r="I31">
        <v>87.5</v>
      </c>
      <c r="J31">
        <v>0.31</v>
      </c>
      <c r="K31">
        <v>0</v>
      </c>
      <c r="L31">
        <v>3.1</v>
      </c>
      <c r="M31">
        <v>537383.79</v>
      </c>
      <c r="N31">
        <v>63773.27</v>
      </c>
      <c r="O31">
        <f t="shared" si="0"/>
        <v>0</v>
      </c>
      <c r="P31">
        <f t="shared" si="1"/>
        <v>0</v>
      </c>
      <c r="Q31">
        <f t="shared" si="2"/>
        <v>0</v>
      </c>
      <c r="R31">
        <f t="shared" si="3"/>
        <v>0</v>
      </c>
      <c r="S31">
        <f t="shared" si="4"/>
        <v>0</v>
      </c>
      <c r="T31">
        <f t="shared" si="5"/>
        <v>0</v>
      </c>
    </row>
    <row r="32" spans="1:20">
      <c r="A32" t="s">
        <v>29</v>
      </c>
      <c r="B32" s="2">
        <v>45717</v>
      </c>
      <c r="C32" t="s">
        <v>15</v>
      </c>
      <c r="D32" t="s">
        <v>16</v>
      </c>
      <c r="E32">
        <v>44970.080000000002</v>
      </c>
      <c r="F32">
        <v>2471</v>
      </c>
      <c r="G32">
        <v>0.13600000000000001</v>
      </c>
      <c r="H32">
        <v>11</v>
      </c>
      <c r="I32">
        <v>87.6</v>
      </c>
      <c r="J32">
        <v>3.01</v>
      </c>
      <c r="K32">
        <v>1</v>
      </c>
      <c r="L32">
        <v>3.7</v>
      </c>
      <c r="M32">
        <v>500173.02</v>
      </c>
      <c r="N32">
        <v>70982.05</v>
      </c>
      <c r="O32">
        <f t="shared" si="0"/>
        <v>0</v>
      </c>
      <c r="P32">
        <f t="shared" si="1"/>
        <v>0</v>
      </c>
      <c r="Q32">
        <f t="shared" si="2"/>
        <v>0</v>
      </c>
      <c r="R32">
        <f t="shared" si="3"/>
        <v>0</v>
      </c>
      <c r="S32">
        <f t="shared" si="4"/>
        <v>0</v>
      </c>
      <c r="T32">
        <f t="shared" si="5"/>
        <v>0</v>
      </c>
    </row>
    <row r="33" spans="1:20">
      <c r="A33" t="s">
        <v>29</v>
      </c>
      <c r="B33" s="2">
        <v>45748</v>
      </c>
      <c r="C33" t="s">
        <v>15</v>
      </c>
      <c r="D33" t="s">
        <v>16</v>
      </c>
      <c r="E33">
        <v>69816.350000000006</v>
      </c>
      <c r="F33">
        <v>971</v>
      </c>
      <c r="G33">
        <v>0.16800000000000001</v>
      </c>
      <c r="H33">
        <v>5</v>
      </c>
      <c r="I33">
        <v>89.9</v>
      </c>
      <c r="J33">
        <v>12.15</v>
      </c>
      <c r="K33">
        <v>0</v>
      </c>
      <c r="L33">
        <v>3.6</v>
      </c>
      <c r="M33">
        <v>427917.38</v>
      </c>
      <c r="N33">
        <v>81824.31</v>
      </c>
      <c r="O33">
        <f t="shared" si="0"/>
        <v>0</v>
      </c>
      <c r="P33">
        <f t="shared" si="1"/>
        <v>0</v>
      </c>
      <c r="Q33">
        <f t="shared" si="2"/>
        <v>0</v>
      </c>
      <c r="R33">
        <f t="shared" si="3"/>
        <v>0</v>
      </c>
      <c r="S33">
        <f t="shared" si="4"/>
        <v>0</v>
      </c>
      <c r="T33">
        <f t="shared" si="5"/>
        <v>0</v>
      </c>
    </row>
    <row r="34" spans="1:20">
      <c r="A34" t="s">
        <v>30</v>
      </c>
      <c r="B34" s="2">
        <v>45658</v>
      </c>
      <c r="C34" t="s">
        <v>20</v>
      </c>
      <c r="D34" t="s">
        <v>16</v>
      </c>
      <c r="E34">
        <v>54597.83</v>
      </c>
      <c r="F34">
        <v>9429</v>
      </c>
      <c r="G34">
        <v>0.188</v>
      </c>
      <c r="H34">
        <v>21</v>
      </c>
      <c r="I34">
        <v>83.3</v>
      </c>
      <c r="J34">
        <v>11.71</v>
      </c>
      <c r="K34">
        <v>0</v>
      </c>
      <c r="L34">
        <v>4.2</v>
      </c>
      <c r="M34">
        <v>641865.03</v>
      </c>
      <c r="N34">
        <v>81342.58</v>
      </c>
      <c r="O34">
        <f t="shared" si="0"/>
        <v>1</v>
      </c>
      <c r="P34">
        <f t="shared" si="1"/>
        <v>0</v>
      </c>
      <c r="Q34">
        <f t="shared" si="2"/>
        <v>0</v>
      </c>
      <c r="R34">
        <f t="shared" si="3"/>
        <v>0</v>
      </c>
      <c r="S34">
        <f t="shared" si="4"/>
        <v>0</v>
      </c>
      <c r="T34">
        <f t="shared" si="5"/>
        <v>0</v>
      </c>
    </row>
    <row r="35" spans="1:20">
      <c r="A35" t="s">
        <v>30</v>
      </c>
      <c r="B35" s="2">
        <v>45689</v>
      </c>
      <c r="C35" t="s">
        <v>20</v>
      </c>
      <c r="D35" t="s">
        <v>16</v>
      </c>
      <c r="E35">
        <v>73771.91</v>
      </c>
      <c r="F35">
        <v>11695</v>
      </c>
      <c r="G35">
        <v>7.0000000000000007E-2</v>
      </c>
      <c r="H35">
        <v>25</v>
      </c>
      <c r="I35">
        <v>84.7</v>
      </c>
      <c r="J35">
        <v>0.62</v>
      </c>
      <c r="K35">
        <v>0</v>
      </c>
      <c r="L35">
        <v>3.9246794871794899</v>
      </c>
      <c r="M35">
        <v>799477.76000000001</v>
      </c>
      <c r="N35">
        <v>164974.41</v>
      </c>
      <c r="O35">
        <f t="shared" si="0"/>
        <v>1</v>
      </c>
      <c r="P35">
        <f t="shared" si="1"/>
        <v>0</v>
      </c>
      <c r="Q35">
        <f t="shared" si="2"/>
        <v>0</v>
      </c>
      <c r="R35">
        <f t="shared" si="3"/>
        <v>0</v>
      </c>
      <c r="S35">
        <f t="shared" si="4"/>
        <v>0</v>
      </c>
      <c r="T35">
        <f t="shared" si="5"/>
        <v>0</v>
      </c>
    </row>
    <row r="36" spans="1:20">
      <c r="A36" t="s">
        <v>30</v>
      </c>
      <c r="B36" s="2">
        <v>45717</v>
      </c>
      <c r="C36" t="s">
        <v>20</v>
      </c>
      <c r="D36" t="s">
        <v>16</v>
      </c>
      <c r="E36">
        <v>74413.88</v>
      </c>
      <c r="F36">
        <v>9449</v>
      </c>
      <c r="G36">
        <v>3.9E-2</v>
      </c>
      <c r="H36">
        <v>23</v>
      </c>
      <c r="I36">
        <v>92.1</v>
      </c>
      <c r="J36">
        <v>2.12</v>
      </c>
      <c r="K36">
        <v>0</v>
      </c>
      <c r="L36">
        <v>3.5</v>
      </c>
      <c r="M36">
        <v>798952.17</v>
      </c>
      <c r="N36">
        <v>161499.04</v>
      </c>
      <c r="O36">
        <f t="shared" si="0"/>
        <v>1</v>
      </c>
      <c r="P36">
        <f t="shared" si="1"/>
        <v>0</v>
      </c>
      <c r="Q36">
        <f t="shared" si="2"/>
        <v>0</v>
      </c>
      <c r="R36">
        <f t="shared" si="3"/>
        <v>0</v>
      </c>
      <c r="S36">
        <f t="shared" si="4"/>
        <v>0</v>
      </c>
      <c r="T36">
        <f t="shared" si="5"/>
        <v>0</v>
      </c>
    </row>
    <row r="37" spans="1:20">
      <c r="A37" t="s">
        <v>30</v>
      </c>
      <c r="B37" s="2">
        <v>45748</v>
      </c>
      <c r="C37" t="s">
        <v>20</v>
      </c>
      <c r="D37" t="s">
        <v>16</v>
      </c>
      <c r="E37">
        <v>52483.77</v>
      </c>
      <c r="F37">
        <v>10453</v>
      </c>
      <c r="G37">
        <v>0.247</v>
      </c>
      <c r="H37">
        <v>25</v>
      </c>
      <c r="I37">
        <v>99</v>
      </c>
      <c r="J37">
        <v>6.31</v>
      </c>
      <c r="K37">
        <v>0</v>
      </c>
      <c r="L37">
        <v>3.6</v>
      </c>
      <c r="M37">
        <v>800979.78</v>
      </c>
      <c r="N37">
        <v>149242.26999999999</v>
      </c>
      <c r="O37">
        <f t="shared" si="0"/>
        <v>1</v>
      </c>
      <c r="P37">
        <f t="shared" si="1"/>
        <v>0</v>
      </c>
      <c r="Q37">
        <f t="shared" si="2"/>
        <v>0</v>
      </c>
      <c r="R37">
        <f t="shared" si="3"/>
        <v>0</v>
      </c>
      <c r="S37">
        <f t="shared" si="4"/>
        <v>0</v>
      </c>
      <c r="T37">
        <f t="shared" si="5"/>
        <v>0</v>
      </c>
    </row>
    <row r="38" spans="1:20">
      <c r="A38" t="s">
        <v>31</v>
      </c>
      <c r="B38" s="2">
        <v>45658</v>
      </c>
      <c r="C38" t="s">
        <v>20</v>
      </c>
      <c r="D38" t="s">
        <v>28</v>
      </c>
      <c r="E38">
        <v>75269.87</v>
      </c>
      <c r="F38">
        <v>8838</v>
      </c>
      <c r="G38">
        <v>9.1999999999999998E-2</v>
      </c>
      <c r="H38">
        <v>21</v>
      </c>
      <c r="I38">
        <v>83.1</v>
      </c>
      <c r="J38">
        <v>9.56</v>
      </c>
      <c r="K38">
        <v>1</v>
      </c>
      <c r="L38">
        <v>4.2</v>
      </c>
      <c r="M38">
        <v>820593.93</v>
      </c>
      <c r="N38">
        <v>115860.06</v>
      </c>
      <c r="O38">
        <f t="shared" si="0"/>
        <v>1</v>
      </c>
      <c r="P38">
        <f t="shared" si="1"/>
        <v>0</v>
      </c>
      <c r="Q38">
        <f t="shared" si="2"/>
        <v>0</v>
      </c>
      <c r="R38">
        <f t="shared" si="3"/>
        <v>0</v>
      </c>
      <c r="S38">
        <f t="shared" si="4"/>
        <v>0</v>
      </c>
      <c r="T38">
        <f t="shared" si="5"/>
        <v>1</v>
      </c>
    </row>
    <row r="39" spans="1:20">
      <c r="A39" t="s">
        <v>31</v>
      </c>
      <c r="B39" s="2">
        <v>45689</v>
      </c>
      <c r="C39" t="s">
        <v>20</v>
      </c>
      <c r="D39" t="s">
        <v>28</v>
      </c>
      <c r="E39">
        <v>61245.41</v>
      </c>
      <c r="F39">
        <v>8156</v>
      </c>
      <c r="G39">
        <v>0.156</v>
      </c>
      <c r="H39">
        <v>19</v>
      </c>
      <c r="I39">
        <v>92.9</v>
      </c>
      <c r="J39">
        <v>9.0500000000000007</v>
      </c>
      <c r="K39">
        <v>0</v>
      </c>
      <c r="L39">
        <v>3.8</v>
      </c>
      <c r="M39">
        <v>718330.53</v>
      </c>
      <c r="N39">
        <v>93247.9</v>
      </c>
      <c r="O39">
        <f t="shared" si="0"/>
        <v>1</v>
      </c>
      <c r="P39">
        <f t="shared" si="1"/>
        <v>0</v>
      </c>
      <c r="Q39">
        <f t="shared" si="2"/>
        <v>0</v>
      </c>
      <c r="R39">
        <f t="shared" si="3"/>
        <v>0</v>
      </c>
      <c r="S39">
        <f t="shared" si="4"/>
        <v>0</v>
      </c>
      <c r="T39">
        <f t="shared" si="5"/>
        <v>1</v>
      </c>
    </row>
    <row r="40" spans="1:20">
      <c r="A40" t="s">
        <v>31</v>
      </c>
      <c r="B40" s="2">
        <v>45717</v>
      </c>
      <c r="C40" t="s">
        <v>20</v>
      </c>
      <c r="D40" t="s">
        <v>28</v>
      </c>
      <c r="E40">
        <v>93381.26</v>
      </c>
      <c r="F40">
        <v>7562</v>
      </c>
      <c r="G40">
        <v>0.19800000000000001</v>
      </c>
      <c r="H40">
        <v>19</v>
      </c>
      <c r="I40">
        <v>82.9</v>
      </c>
      <c r="J40">
        <v>5.05</v>
      </c>
      <c r="K40">
        <v>0</v>
      </c>
      <c r="L40">
        <v>4</v>
      </c>
      <c r="M40">
        <v>736633.4</v>
      </c>
      <c r="N40">
        <v>115654.66</v>
      </c>
      <c r="O40">
        <f t="shared" si="0"/>
        <v>1</v>
      </c>
      <c r="P40">
        <f t="shared" si="1"/>
        <v>0</v>
      </c>
      <c r="Q40">
        <f t="shared" si="2"/>
        <v>0</v>
      </c>
      <c r="R40">
        <f t="shared" si="3"/>
        <v>0</v>
      </c>
      <c r="S40">
        <f t="shared" si="4"/>
        <v>0</v>
      </c>
      <c r="T40">
        <f t="shared" si="5"/>
        <v>1</v>
      </c>
    </row>
    <row r="41" spans="1:20">
      <c r="A41" t="s">
        <v>31</v>
      </c>
      <c r="B41" s="2">
        <v>45748</v>
      </c>
      <c r="C41" t="s">
        <v>20</v>
      </c>
      <c r="D41" t="s">
        <v>28</v>
      </c>
      <c r="E41">
        <v>65012.19</v>
      </c>
      <c r="F41">
        <v>9598</v>
      </c>
      <c r="G41">
        <v>8.5000000000000006E-2</v>
      </c>
      <c r="H41">
        <v>24</v>
      </c>
      <c r="I41">
        <v>98.3</v>
      </c>
      <c r="J41">
        <v>0.89</v>
      </c>
      <c r="K41">
        <v>0</v>
      </c>
      <c r="L41">
        <v>3.8</v>
      </c>
      <c r="M41">
        <v>828623.85</v>
      </c>
      <c r="N41">
        <v>167320.51999999999</v>
      </c>
      <c r="O41">
        <f t="shared" si="0"/>
        <v>1</v>
      </c>
      <c r="P41">
        <f t="shared" si="1"/>
        <v>0</v>
      </c>
      <c r="Q41">
        <f t="shared" si="2"/>
        <v>0</v>
      </c>
      <c r="R41">
        <f t="shared" si="3"/>
        <v>0</v>
      </c>
      <c r="S41">
        <f t="shared" si="4"/>
        <v>0</v>
      </c>
      <c r="T41">
        <f t="shared" si="5"/>
        <v>1</v>
      </c>
    </row>
    <row r="42" spans="1:20">
      <c r="A42" t="s">
        <v>32</v>
      </c>
      <c r="B42" s="2">
        <v>45658</v>
      </c>
      <c r="C42" t="s">
        <v>15</v>
      </c>
      <c r="D42" t="s">
        <v>28</v>
      </c>
      <c r="E42">
        <v>40462.94</v>
      </c>
      <c r="F42">
        <v>3660</v>
      </c>
      <c r="G42">
        <v>0.218</v>
      </c>
      <c r="H42">
        <v>11</v>
      </c>
      <c r="I42">
        <v>95.2</v>
      </c>
      <c r="J42">
        <v>5.57</v>
      </c>
      <c r="K42">
        <v>0</v>
      </c>
      <c r="L42">
        <v>4.4000000000000004</v>
      </c>
      <c r="M42">
        <v>592195.85</v>
      </c>
      <c r="N42">
        <v>92291.56</v>
      </c>
      <c r="O42">
        <f t="shared" si="0"/>
        <v>0</v>
      </c>
      <c r="P42">
        <f t="shared" si="1"/>
        <v>0</v>
      </c>
      <c r="Q42">
        <f t="shared" si="2"/>
        <v>0</v>
      </c>
      <c r="R42">
        <f t="shared" si="3"/>
        <v>0</v>
      </c>
      <c r="S42">
        <f t="shared" si="4"/>
        <v>0</v>
      </c>
      <c r="T42">
        <f t="shared" si="5"/>
        <v>1</v>
      </c>
    </row>
    <row r="43" spans="1:20">
      <c r="A43" t="s">
        <v>32</v>
      </c>
      <c r="B43" s="2">
        <v>45689</v>
      </c>
      <c r="C43" t="s">
        <v>15</v>
      </c>
      <c r="D43" t="s">
        <v>28</v>
      </c>
      <c r="E43">
        <v>46123.88</v>
      </c>
      <c r="F43">
        <v>3227</v>
      </c>
      <c r="G43">
        <v>0.14299999999999999</v>
      </c>
      <c r="H43">
        <v>10</v>
      </c>
      <c r="I43">
        <v>75.400000000000006</v>
      </c>
      <c r="J43">
        <v>1.06</v>
      </c>
      <c r="K43">
        <v>0</v>
      </c>
      <c r="L43">
        <v>4.4000000000000004</v>
      </c>
      <c r="M43">
        <v>532644.46</v>
      </c>
      <c r="N43">
        <v>60681.32</v>
      </c>
      <c r="O43">
        <f t="shared" si="0"/>
        <v>0</v>
      </c>
      <c r="P43">
        <f t="shared" si="1"/>
        <v>0</v>
      </c>
      <c r="Q43">
        <f t="shared" si="2"/>
        <v>0</v>
      </c>
      <c r="R43">
        <f t="shared" si="3"/>
        <v>0</v>
      </c>
      <c r="S43">
        <f t="shared" si="4"/>
        <v>0</v>
      </c>
      <c r="T43">
        <f t="shared" si="5"/>
        <v>1</v>
      </c>
    </row>
    <row r="44" spans="1:20">
      <c r="A44" t="s">
        <v>32</v>
      </c>
      <c r="B44" s="2">
        <v>45717</v>
      </c>
      <c r="C44" t="s">
        <v>15</v>
      </c>
      <c r="D44" t="s">
        <v>28</v>
      </c>
      <c r="E44">
        <v>68077.539999999994</v>
      </c>
      <c r="F44">
        <v>3360</v>
      </c>
      <c r="G44">
        <v>0.128</v>
      </c>
      <c r="H44">
        <v>14</v>
      </c>
      <c r="I44">
        <v>88.2</v>
      </c>
      <c r="J44">
        <v>1.24</v>
      </c>
      <c r="K44">
        <v>1</v>
      </c>
      <c r="L44">
        <v>4</v>
      </c>
      <c r="M44">
        <v>657429.18000000005</v>
      </c>
      <c r="N44">
        <v>88919.74</v>
      </c>
      <c r="O44">
        <f t="shared" si="0"/>
        <v>0</v>
      </c>
      <c r="P44">
        <f t="shared" si="1"/>
        <v>0</v>
      </c>
      <c r="Q44">
        <f t="shared" si="2"/>
        <v>0</v>
      </c>
      <c r="R44">
        <f t="shared" si="3"/>
        <v>0</v>
      </c>
      <c r="S44">
        <f t="shared" si="4"/>
        <v>0</v>
      </c>
      <c r="T44">
        <f t="shared" si="5"/>
        <v>1</v>
      </c>
    </row>
    <row r="45" spans="1:20">
      <c r="A45" t="s">
        <v>32</v>
      </c>
      <c r="B45" s="2">
        <v>45748</v>
      </c>
      <c r="C45" t="s">
        <v>15</v>
      </c>
      <c r="D45" t="s">
        <v>28</v>
      </c>
      <c r="E45">
        <v>64882.14</v>
      </c>
      <c r="F45">
        <v>3642</v>
      </c>
      <c r="G45">
        <v>1.9E-2</v>
      </c>
      <c r="H45">
        <v>13</v>
      </c>
      <c r="I45">
        <v>87.8</v>
      </c>
      <c r="J45">
        <v>4.5199999999999996</v>
      </c>
      <c r="K45">
        <v>0</v>
      </c>
      <c r="L45">
        <v>4.2</v>
      </c>
      <c r="M45">
        <v>605178</v>
      </c>
      <c r="N45">
        <v>106958.74</v>
      </c>
      <c r="O45">
        <f t="shared" si="0"/>
        <v>0</v>
      </c>
      <c r="P45">
        <f t="shared" si="1"/>
        <v>0</v>
      </c>
      <c r="Q45">
        <f t="shared" si="2"/>
        <v>0</v>
      </c>
      <c r="R45">
        <f t="shared" si="3"/>
        <v>0</v>
      </c>
      <c r="S45">
        <f t="shared" si="4"/>
        <v>0</v>
      </c>
      <c r="T45">
        <f t="shared" si="5"/>
        <v>1</v>
      </c>
    </row>
    <row r="46" spans="1:20">
      <c r="A46" t="s">
        <v>33</v>
      </c>
      <c r="B46" s="2">
        <v>45658</v>
      </c>
      <c r="C46" t="s">
        <v>27</v>
      </c>
      <c r="D46" t="s">
        <v>16</v>
      </c>
      <c r="E46">
        <v>138855.51</v>
      </c>
      <c r="F46">
        <v>5145</v>
      </c>
      <c r="G46">
        <v>0.06</v>
      </c>
      <c r="H46">
        <v>17</v>
      </c>
      <c r="I46">
        <v>88.2</v>
      </c>
      <c r="J46">
        <v>9.58</v>
      </c>
      <c r="K46">
        <v>0</v>
      </c>
      <c r="L46">
        <v>3.2</v>
      </c>
      <c r="M46">
        <v>595467.6</v>
      </c>
      <c r="N46">
        <v>104276.46</v>
      </c>
      <c r="O46">
        <f t="shared" si="0"/>
        <v>0</v>
      </c>
      <c r="P46">
        <f t="shared" si="1"/>
        <v>0</v>
      </c>
      <c r="Q46">
        <f t="shared" si="2"/>
        <v>1</v>
      </c>
      <c r="R46">
        <f t="shared" si="3"/>
        <v>0</v>
      </c>
      <c r="S46">
        <f t="shared" si="4"/>
        <v>0</v>
      </c>
      <c r="T46">
        <f t="shared" si="5"/>
        <v>0</v>
      </c>
    </row>
    <row r="47" spans="1:20">
      <c r="A47" t="s">
        <v>33</v>
      </c>
      <c r="B47" s="2">
        <v>45689</v>
      </c>
      <c r="C47" t="s">
        <v>27</v>
      </c>
      <c r="D47" t="s">
        <v>16</v>
      </c>
      <c r="E47">
        <v>63630.21</v>
      </c>
      <c r="F47">
        <v>4460</v>
      </c>
      <c r="G47">
        <v>0.23499999999999999</v>
      </c>
      <c r="H47">
        <v>14</v>
      </c>
      <c r="I47">
        <v>98.6</v>
      </c>
      <c r="J47">
        <v>5.52</v>
      </c>
      <c r="K47">
        <v>0</v>
      </c>
      <c r="L47">
        <v>3.5</v>
      </c>
      <c r="M47">
        <v>599603.4</v>
      </c>
      <c r="N47">
        <v>112685.12</v>
      </c>
      <c r="O47">
        <f t="shared" si="0"/>
        <v>0</v>
      </c>
      <c r="P47">
        <f t="shared" si="1"/>
        <v>0</v>
      </c>
      <c r="Q47">
        <f t="shared" si="2"/>
        <v>1</v>
      </c>
      <c r="R47">
        <f t="shared" si="3"/>
        <v>0</v>
      </c>
      <c r="S47">
        <f t="shared" si="4"/>
        <v>0</v>
      </c>
      <c r="T47">
        <f t="shared" si="5"/>
        <v>0</v>
      </c>
    </row>
    <row r="48" spans="1:20">
      <c r="A48" t="s">
        <v>33</v>
      </c>
      <c r="B48" s="2">
        <v>45717</v>
      </c>
      <c r="C48" t="s">
        <v>27</v>
      </c>
      <c r="D48" t="s">
        <v>16</v>
      </c>
      <c r="E48">
        <v>50043.65</v>
      </c>
      <c r="F48">
        <v>3804</v>
      </c>
      <c r="G48">
        <v>0.113</v>
      </c>
      <c r="H48">
        <v>11</v>
      </c>
      <c r="I48">
        <v>90.9</v>
      </c>
      <c r="J48">
        <v>2.7</v>
      </c>
      <c r="K48">
        <v>1</v>
      </c>
      <c r="L48">
        <v>3.2</v>
      </c>
      <c r="M48">
        <v>614800.09</v>
      </c>
      <c r="N48">
        <v>100044.2</v>
      </c>
      <c r="O48">
        <f t="shared" si="0"/>
        <v>0</v>
      </c>
      <c r="P48">
        <f t="shared" si="1"/>
        <v>0</v>
      </c>
      <c r="Q48">
        <f t="shared" si="2"/>
        <v>1</v>
      </c>
      <c r="R48">
        <f t="shared" si="3"/>
        <v>0</v>
      </c>
      <c r="S48">
        <f t="shared" si="4"/>
        <v>0</v>
      </c>
      <c r="T48">
        <f t="shared" si="5"/>
        <v>0</v>
      </c>
    </row>
    <row r="49" spans="1:20">
      <c r="A49" t="s">
        <v>33</v>
      </c>
      <c r="B49" s="2">
        <v>45748</v>
      </c>
      <c r="C49" t="s">
        <v>27</v>
      </c>
      <c r="D49" t="s">
        <v>16</v>
      </c>
      <c r="E49">
        <v>42093.84</v>
      </c>
      <c r="F49">
        <v>4074</v>
      </c>
      <c r="G49">
        <v>0.155</v>
      </c>
      <c r="H49">
        <v>15</v>
      </c>
      <c r="I49">
        <v>88</v>
      </c>
      <c r="J49">
        <v>9.64</v>
      </c>
      <c r="K49">
        <v>0</v>
      </c>
      <c r="L49">
        <v>3.3</v>
      </c>
      <c r="M49">
        <v>585365.73</v>
      </c>
      <c r="N49">
        <v>81011.520000000004</v>
      </c>
      <c r="O49">
        <f t="shared" si="0"/>
        <v>0</v>
      </c>
      <c r="P49">
        <f t="shared" si="1"/>
        <v>0</v>
      </c>
      <c r="Q49">
        <f t="shared" si="2"/>
        <v>1</v>
      </c>
      <c r="R49">
        <f t="shared" si="3"/>
        <v>0</v>
      </c>
      <c r="S49">
        <f t="shared" si="4"/>
        <v>0</v>
      </c>
      <c r="T49">
        <f t="shared" si="5"/>
        <v>0</v>
      </c>
    </row>
    <row r="50" spans="1:20">
      <c r="A50" t="s">
        <v>34</v>
      </c>
      <c r="B50" s="2">
        <v>45658</v>
      </c>
      <c r="C50" t="s">
        <v>20</v>
      </c>
      <c r="D50" t="s">
        <v>28</v>
      </c>
      <c r="E50">
        <v>46624.05</v>
      </c>
      <c r="F50">
        <v>5104</v>
      </c>
      <c r="G50">
        <v>0.109</v>
      </c>
      <c r="H50">
        <v>11</v>
      </c>
      <c r="I50">
        <v>97.3</v>
      </c>
      <c r="J50">
        <v>3.49</v>
      </c>
      <c r="K50">
        <v>1</v>
      </c>
      <c r="L50">
        <v>4.7</v>
      </c>
      <c r="M50">
        <v>622811.74</v>
      </c>
      <c r="N50">
        <v>109978.35</v>
      </c>
      <c r="O50">
        <f t="shared" si="0"/>
        <v>1</v>
      </c>
      <c r="P50">
        <f t="shared" si="1"/>
        <v>0</v>
      </c>
      <c r="Q50">
        <f t="shared" si="2"/>
        <v>0</v>
      </c>
      <c r="R50">
        <f t="shared" si="3"/>
        <v>0</v>
      </c>
      <c r="S50">
        <f t="shared" si="4"/>
        <v>0</v>
      </c>
      <c r="T50">
        <f t="shared" si="5"/>
        <v>1</v>
      </c>
    </row>
    <row r="51" spans="1:20">
      <c r="A51" t="s">
        <v>34</v>
      </c>
      <c r="B51" s="2">
        <v>45689</v>
      </c>
      <c r="C51" t="s">
        <v>20</v>
      </c>
      <c r="D51" t="s">
        <v>28</v>
      </c>
      <c r="E51">
        <v>49710.29</v>
      </c>
      <c r="F51">
        <v>5559</v>
      </c>
      <c r="G51">
        <v>0.218</v>
      </c>
      <c r="H51">
        <v>14</v>
      </c>
      <c r="I51">
        <v>71</v>
      </c>
      <c r="J51">
        <v>9.11</v>
      </c>
      <c r="K51">
        <v>0</v>
      </c>
      <c r="L51">
        <v>4.5999999999999996</v>
      </c>
      <c r="M51">
        <v>603297.56999999995</v>
      </c>
      <c r="N51">
        <v>60592.26</v>
      </c>
      <c r="O51">
        <f t="shared" si="0"/>
        <v>1</v>
      </c>
      <c r="P51">
        <f t="shared" si="1"/>
        <v>0</v>
      </c>
      <c r="Q51">
        <f t="shared" si="2"/>
        <v>0</v>
      </c>
      <c r="R51">
        <f t="shared" si="3"/>
        <v>0</v>
      </c>
      <c r="S51">
        <f t="shared" si="4"/>
        <v>0</v>
      </c>
      <c r="T51">
        <f t="shared" si="5"/>
        <v>1</v>
      </c>
    </row>
    <row r="52" spans="1:20">
      <c r="A52" t="s">
        <v>34</v>
      </c>
      <c r="B52" s="2">
        <v>45717</v>
      </c>
      <c r="C52" t="s">
        <v>20</v>
      </c>
      <c r="D52" t="s">
        <v>28</v>
      </c>
      <c r="E52">
        <v>48287.85</v>
      </c>
      <c r="F52">
        <v>5150</v>
      </c>
      <c r="G52">
        <v>8.0000000000000002E-3</v>
      </c>
      <c r="H52">
        <v>12</v>
      </c>
      <c r="I52">
        <v>80.400000000000006</v>
      </c>
      <c r="J52">
        <v>7.4</v>
      </c>
      <c r="K52">
        <v>0</v>
      </c>
      <c r="L52">
        <v>4.5</v>
      </c>
      <c r="M52">
        <v>625672.86</v>
      </c>
      <c r="N52">
        <v>118020.12</v>
      </c>
      <c r="O52">
        <f t="shared" si="0"/>
        <v>1</v>
      </c>
      <c r="P52">
        <f t="shared" si="1"/>
        <v>0</v>
      </c>
      <c r="Q52">
        <f t="shared" si="2"/>
        <v>0</v>
      </c>
      <c r="R52">
        <f t="shared" si="3"/>
        <v>0</v>
      </c>
      <c r="S52">
        <f t="shared" si="4"/>
        <v>0</v>
      </c>
      <c r="T52">
        <f t="shared" si="5"/>
        <v>1</v>
      </c>
    </row>
    <row r="53" spans="1:20">
      <c r="A53" t="s">
        <v>34</v>
      </c>
      <c r="B53" s="2">
        <v>45748</v>
      </c>
      <c r="C53" t="s">
        <v>20</v>
      </c>
      <c r="D53" t="s">
        <v>28</v>
      </c>
      <c r="E53">
        <v>65312.49</v>
      </c>
      <c r="F53">
        <v>7189</v>
      </c>
      <c r="G53">
        <v>0.05</v>
      </c>
      <c r="H53">
        <v>19</v>
      </c>
      <c r="I53">
        <v>93.7</v>
      </c>
      <c r="J53">
        <v>7.16</v>
      </c>
      <c r="K53">
        <v>0</v>
      </c>
      <c r="L53">
        <v>4.5999999999999996</v>
      </c>
      <c r="M53">
        <v>773815.14</v>
      </c>
      <c r="N53">
        <v>133948.39000000001</v>
      </c>
      <c r="O53">
        <f t="shared" si="0"/>
        <v>1</v>
      </c>
      <c r="P53">
        <f t="shared" si="1"/>
        <v>0</v>
      </c>
      <c r="Q53">
        <f t="shared" si="2"/>
        <v>0</v>
      </c>
      <c r="R53">
        <f t="shared" si="3"/>
        <v>0</v>
      </c>
      <c r="S53">
        <f t="shared" si="4"/>
        <v>0</v>
      </c>
      <c r="T53">
        <f t="shared" si="5"/>
        <v>1</v>
      </c>
    </row>
    <row r="54" spans="1:20">
      <c r="A54" t="s">
        <v>35</v>
      </c>
      <c r="B54" s="2">
        <v>45658</v>
      </c>
      <c r="C54" t="s">
        <v>27</v>
      </c>
      <c r="D54" t="s">
        <v>18</v>
      </c>
      <c r="E54">
        <v>53015.46</v>
      </c>
      <c r="F54">
        <v>3279</v>
      </c>
      <c r="G54">
        <v>8.6999999999999994E-2</v>
      </c>
      <c r="H54">
        <v>9</v>
      </c>
      <c r="I54">
        <v>84.3</v>
      </c>
      <c r="J54">
        <v>22.02</v>
      </c>
      <c r="K54">
        <v>0</v>
      </c>
      <c r="L54">
        <v>3.9</v>
      </c>
      <c r="M54">
        <v>463534.25</v>
      </c>
      <c r="N54">
        <v>81834.539999999994</v>
      </c>
      <c r="O54">
        <f t="shared" si="0"/>
        <v>0</v>
      </c>
      <c r="P54">
        <f t="shared" si="1"/>
        <v>0</v>
      </c>
      <c r="Q54">
        <f t="shared" si="2"/>
        <v>1</v>
      </c>
      <c r="R54">
        <f t="shared" si="3"/>
        <v>0</v>
      </c>
      <c r="S54">
        <f t="shared" si="4"/>
        <v>1</v>
      </c>
      <c r="T54">
        <f t="shared" si="5"/>
        <v>0</v>
      </c>
    </row>
    <row r="55" spans="1:20">
      <c r="A55" t="s">
        <v>35</v>
      </c>
      <c r="B55" s="2">
        <v>45689</v>
      </c>
      <c r="C55" t="s">
        <v>27</v>
      </c>
      <c r="D55" t="s">
        <v>18</v>
      </c>
      <c r="E55">
        <v>99874.01</v>
      </c>
      <c r="F55">
        <v>5887</v>
      </c>
      <c r="G55">
        <v>0.26200000000000001</v>
      </c>
      <c r="H55">
        <v>14</v>
      </c>
      <c r="I55">
        <v>88.7</v>
      </c>
      <c r="J55">
        <v>6.18</v>
      </c>
      <c r="K55">
        <v>0</v>
      </c>
      <c r="L55">
        <v>4.7</v>
      </c>
      <c r="M55">
        <v>746677.75</v>
      </c>
      <c r="N55">
        <v>122437.84</v>
      </c>
      <c r="O55">
        <f t="shared" si="0"/>
        <v>0</v>
      </c>
      <c r="P55">
        <f t="shared" si="1"/>
        <v>0</v>
      </c>
      <c r="Q55">
        <f t="shared" si="2"/>
        <v>1</v>
      </c>
      <c r="R55">
        <f t="shared" si="3"/>
        <v>0</v>
      </c>
      <c r="S55">
        <f t="shared" si="4"/>
        <v>1</v>
      </c>
      <c r="T55">
        <f t="shared" si="5"/>
        <v>0</v>
      </c>
    </row>
    <row r="56" spans="1:20">
      <c r="A56" t="s">
        <v>35</v>
      </c>
      <c r="B56" s="2">
        <v>45717</v>
      </c>
      <c r="C56" t="s">
        <v>27</v>
      </c>
      <c r="D56" t="s">
        <v>18</v>
      </c>
      <c r="E56">
        <v>81195.5</v>
      </c>
      <c r="F56">
        <v>5516</v>
      </c>
      <c r="G56">
        <v>0.106</v>
      </c>
      <c r="H56">
        <v>14</v>
      </c>
      <c r="I56">
        <v>88</v>
      </c>
      <c r="J56">
        <v>1.76</v>
      </c>
      <c r="K56">
        <v>0</v>
      </c>
      <c r="L56">
        <v>4.3</v>
      </c>
      <c r="M56">
        <v>720852.5</v>
      </c>
      <c r="N56">
        <v>98565.62</v>
      </c>
      <c r="O56">
        <f t="shared" si="0"/>
        <v>0</v>
      </c>
      <c r="P56">
        <f t="shared" si="1"/>
        <v>0</v>
      </c>
      <c r="Q56">
        <f t="shared" si="2"/>
        <v>1</v>
      </c>
      <c r="R56">
        <f t="shared" si="3"/>
        <v>0</v>
      </c>
      <c r="S56">
        <f t="shared" si="4"/>
        <v>1</v>
      </c>
      <c r="T56">
        <f t="shared" si="5"/>
        <v>0</v>
      </c>
    </row>
    <row r="57" spans="1:20">
      <c r="A57" t="s">
        <v>35</v>
      </c>
      <c r="B57" s="2">
        <v>45748</v>
      </c>
      <c r="C57" t="s">
        <v>27</v>
      </c>
      <c r="D57" t="s">
        <v>18</v>
      </c>
      <c r="E57">
        <v>27808.6</v>
      </c>
      <c r="F57">
        <v>2863</v>
      </c>
      <c r="G57">
        <v>0.08</v>
      </c>
      <c r="H57">
        <v>13</v>
      </c>
      <c r="I57">
        <v>89.3</v>
      </c>
      <c r="J57">
        <v>0.47</v>
      </c>
      <c r="K57">
        <v>0</v>
      </c>
      <c r="L57">
        <v>4.0999999999999996</v>
      </c>
      <c r="M57">
        <v>487464.91</v>
      </c>
      <c r="N57">
        <v>64562.26</v>
      </c>
      <c r="O57">
        <f t="shared" si="0"/>
        <v>0</v>
      </c>
      <c r="P57">
        <f t="shared" si="1"/>
        <v>0</v>
      </c>
      <c r="Q57">
        <f t="shared" si="2"/>
        <v>1</v>
      </c>
      <c r="R57">
        <f t="shared" si="3"/>
        <v>0</v>
      </c>
      <c r="S57">
        <f t="shared" si="4"/>
        <v>1</v>
      </c>
      <c r="T57">
        <f t="shared" si="5"/>
        <v>0</v>
      </c>
    </row>
    <row r="58" spans="1:20">
      <c r="A58" t="s">
        <v>36</v>
      </c>
      <c r="B58" s="2">
        <v>45658</v>
      </c>
      <c r="C58" t="s">
        <v>15</v>
      </c>
      <c r="D58" t="s">
        <v>21</v>
      </c>
      <c r="E58">
        <v>19365.060000000001</v>
      </c>
      <c r="F58">
        <v>2378</v>
      </c>
      <c r="G58">
        <v>0</v>
      </c>
      <c r="H58">
        <v>12</v>
      </c>
      <c r="I58">
        <v>94.8</v>
      </c>
      <c r="J58">
        <v>0.2</v>
      </c>
      <c r="K58">
        <v>0</v>
      </c>
      <c r="L58">
        <v>3.5</v>
      </c>
      <c r="M58">
        <v>518049.26</v>
      </c>
      <c r="N58">
        <v>108592.49</v>
      </c>
      <c r="O58">
        <f t="shared" si="0"/>
        <v>0</v>
      </c>
      <c r="P58">
        <f t="shared" si="1"/>
        <v>0</v>
      </c>
      <c r="Q58">
        <f t="shared" si="2"/>
        <v>0</v>
      </c>
      <c r="R58">
        <f t="shared" si="3"/>
        <v>1</v>
      </c>
      <c r="S58">
        <f t="shared" si="4"/>
        <v>0</v>
      </c>
      <c r="T58">
        <f t="shared" si="5"/>
        <v>0</v>
      </c>
    </row>
    <row r="59" spans="1:20">
      <c r="A59" t="s">
        <v>36</v>
      </c>
      <c r="B59" s="2">
        <v>45689</v>
      </c>
      <c r="C59" t="s">
        <v>15</v>
      </c>
      <c r="D59" t="s">
        <v>21</v>
      </c>
      <c r="E59">
        <v>59405.68</v>
      </c>
      <c r="F59">
        <v>2515</v>
      </c>
      <c r="G59">
        <v>3.9E-2</v>
      </c>
      <c r="H59">
        <v>12</v>
      </c>
      <c r="I59">
        <v>76</v>
      </c>
      <c r="J59">
        <v>5.1100000000000003</v>
      </c>
      <c r="K59">
        <v>0</v>
      </c>
      <c r="L59">
        <v>3.7</v>
      </c>
      <c r="M59">
        <v>500298.48</v>
      </c>
      <c r="N59">
        <v>73461.320000000007</v>
      </c>
      <c r="O59">
        <f t="shared" si="0"/>
        <v>0</v>
      </c>
      <c r="P59">
        <f t="shared" si="1"/>
        <v>0</v>
      </c>
      <c r="Q59">
        <f t="shared" si="2"/>
        <v>0</v>
      </c>
      <c r="R59">
        <f t="shared" si="3"/>
        <v>1</v>
      </c>
      <c r="S59">
        <f t="shared" si="4"/>
        <v>0</v>
      </c>
      <c r="T59">
        <f t="shared" si="5"/>
        <v>0</v>
      </c>
    </row>
    <row r="60" spans="1:20">
      <c r="A60" t="s">
        <v>36</v>
      </c>
      <c r="B60" s="2">
        <v>45717</v>
      </c>
      <c r="C60" t="s">
        <v>15</v>
      </c>
      <c r="D60" t="s">
        <v>21</v>
      </c>
      <c r="E60">
        <v>118910.48</v>
      </c>
      <c r="F60">
        <v>4022</v>
      </c>
      <c r="G60">
        <v>0.13700000000000001</v>
      </c>
      <c r="H60">
        <v>11</v>
      </c>
      <c r="I60">
        <v>87.1</v>
      </c>
      <c r="J60">
        <v>0.2</v>
      </c>
      <c r="K60">
        <v>0</v>
      </c>
      <c r="L60">
        <v>3.1</v>
      </c>
      <c r="M60">
        <v>617291.15</v>
      </c>
      <c r="N60">
        <v>117782</v>
      </c>
      <c r="O60">
        <f t="shared" si="0"/>
        <v>0</v>
      </c>
      <c r="P60">
        <f t="shared" si="1"/>
        <v>0</v>
      </c>
      <c r="Q60">
        <f t="shared" si="2"/>
        <v>0</v>
      </c>
      <c r="R60">
        <f t="shared" si="3"/>
        <v>1</v>
      </c>
      <c r="S60">
        <f t="shared" si="4"/>
        <v>0</v>
      </c>
      <c r="T60">
        <f t="shared" si="5"/>
        <v>0</v>
      </c>
    </row>
    <row r="61" spans="1:20">
      <c r="A61" t="s">
        <v>36</v>
      </c>
      <c r="B61" s="2">
        <v>45748</v>
      </c>
      <c r="C61" t="s">
        <v>15</v>
      </c>
      <c r="D61" t="s">
        <v>21</v>
      </c>
      <c r="E61">
        <v>52952.12</v>
      </c>
      <c r="F61">
        <v>4377</v>
      </c>
      <c r="G61">
        <v>9.1999999999999998E-2</v>
      </c>
      <c r="H61">
        <v>14</v>
      </c>
      <c r="I61">
        <v>88.6</v>
      </c>
      <c r="J61">
        <v>13.59</v>
      </c>
      <c r="K61">
        <v>0</v>
      </c>
      <c r="L61">
        <v>3.1</v>
      </c>
      <c r="M61">
        <v>553756.43000000005</v>
      </c>
      <c r="N61">
        <v>86166.77</v>
      </c>
      <c r="O61">
        <f t="shared" si="0"/>
        <v>0</v>
      </c>
      <c r="P61">
        <f t="shared" si="1"/>
        <v>0</v>
      </c>
      <c r="Q61">
        <f t="shared" si="2"/>
        <v>0</v>
      </c>
      <c r="R61">
        <f t="shared" si="3"/>
        <v>1</v>
      </c>
      <c r="S61">
        <f t="shared" si="4"/>
        <v>0</v>
      </c>
      <c r="T61">
        <f t="shared" si="5"/>
        <v>0</v>
      </c>
    </row>
    <row r="62" spans="1:20">
      <c r="A62" t="s">
        <v>37</v>
      </c>
      <c r="B62" s="2">
        <v>45658</v>
      </c>
      <c r="C62" t="s">
        <v>24</v>
      </c>
      <c r="D62" t="s">
        <v>18</v>
      </c>
      <c r="E62">
        <v>74907.98</v>
      </c>
      <c r="F62">
        <v>5306</v>
      </c>
      <c r="G62">
        <v>6.2E-2</v>
      </c>
      <c r="H62">
        <v>16</v>
      </c>
      <c r="I62">
        <v>95.6</v>
      </c>
      <c r="J62">
        <v>1.02</v>
      </c>
      <c r="K62">
        <v>0</v>
      </c>
      <c r="L62">
        <v>3.7</v>
      </c>
      <c r="M62">
        <v>749559.71</v>
      </c>
      <c r="N62">
        <v>144522.53</v>
      </c>
      <c r="O62">
        <f t="shared" si="0"/>
        <v>0</v>
      </c>
      <c r="P62">
        <f t="shared" si="1"/>
        <v>1</v>
      </c>
      <c r="Q62">
        <f t="shared" si="2"/>
        <v>0</v>
      </c>
      <c r="R62">
        <f t="shared" si="3"/>
        <v>0</v>
      </c>
      <c r="S62">
        <f t="shared" si="4"/>
        <v>1</v>
      </c>
      <c r="T62">
        <f t="shared" si="5"/>
        <v>0</v>
      </c>
    </row>
    <row r="63" spans="1:20">
      <c r="A63" t="s">
        <v>37</v>
      </c>
      <c r="B63" s="2">
        <v>45689</v>
      </c>
      <c r="C63" t="s">
        <v>24</v>
      </c>
      <c r="D63" t="s">
        <v>18</v>
      </c>
      <c r="E63">
        <v>37284.660000000003</v>
      </c>
      <c r="F63">
        <v>3928</v>
      </c>
      <c r="G63">
        <v>7.3999999999999996E-2</v>
      </c>
      <c r="H63">
        <v>12</v>
      </c>
      <c r="I63">
        <v>86.5</v>
      </c>
      <c r="J63">
        <v>1.64</v>
      </c>
      <c r="K63">
        <v>0</v>
      </c>
      <c r="L63">
        <v>3.8</v>
      </c>
      <c r="M63">
        <v>615966.48</v>
      </c>
      <c r="N63">
        <v>91509.38</v>
      </c>
      <c r="O63">
        <f t="shared" si="0"/>
        <v>0</v>
      </c>
      <c r="P63">
        <f t="shared" si="1"/>
        <v>1</v>
      </c>
      <c r="Q63">
        <f t="shared" si="2"/>
        <v>0</v>
      </c>
      <c r="R63">
        <f t="shared" si="3"/>
        <v>0</v>
      </c>
      <c r="S63">
        <f t="shared" si="4"/>
        <v>1</v>
      </c>
      <c r="T63">
        <f t="shared" si="5"/>
        <v>0</v>
      </c>
    </row>
    <row r="64" spans="1:20">
      <c r="A64" t="s">
        <v>37</v>
      </c>
      <c r="B64" s="2">
        <v>45717</v>
      </c>
      <c r="C64" t="s">
        <v>24</v>
      </c>
      <c r="D64" t="s">
        <v>18</v>
      </c>
      <c r="E64">
        <v>50343.19</v>
      </c>
      <c r="F64">
        <v>3845</v>
      </c>
      <c r="G64">
        <v>0.113</v>
      </c>
      <c r="H64">
        <v>9</v>
      </c>
      <c r="I64">
        <v>88.7</v>
      </c>
      <c r="J64">
        <v>5.15</v>
      </c>
      <c r="K64">
        <v>0</v>
      </c>
      <c r="L64">
        <v>3.3</v>
      </c>
      <c r="M64">
        <v>572011.19999999995</v>
      </c>
      <c r="N64">
        <v>101409.68</v>
      </c>
      <c r="O64">
        <f t="shared" si="0"/>
        <v>0</v>
      </c>
      <c r="P64">
        <f t="shared" si="1"/>
        <v>1</v>
      </c>
      <c r="Q64">
        <f t="shared" si="2"/>
        <v>0</v>
      </c>
      <c r="R64">
        <f t="shared" si="3"/>
        <v>0</v>
      </c>
      <c r="S64">
        <f t="shared" si="4"/>
        <v>1</v>
      </c>
      <c r="T64">
        <f t="shared" si="5"/>
        <v>0</v>
      </c>
    </row>
    <row r="65" spans="1:20">
      <c r="A65" t="s">
        <v>37</v>
      </c>
      <c r="B65" s="2">
        <v>45748</v>
      </c>
      <c r="C65" t="s">
        <v>24</v>
      </c>
      <c r="D65" t="s">
        <v>18</v>
      </c>
      <c r="E65">
        <v>74954.47</v>
      </c>
      <c r="F65">
        <v>6620</v>
      </c>
      <c r="G65">
        <v>5.3999999999999999E-2</v>
      </c>
      <c r="H65">
        <v>17</v>
      </c>
      <c r="I65">
        <v>91.1</v>
      </c>
      <c r="J65">
        <v>1.1100000000000001</v>
      </c>
      <c r="K65">
        <v>0</v>
      </c>
      <c r="L65">
        <v>3.5</v>
      </c>
      <c r="M65">
        <v>761860.19</v>
      </c>
      <c r="N65">
        <v>133279.38</v>
      </c>
      <c r="O65">
        <f t="shared" si="0"/>
        <v>0</v>
      </c>
      <c r="P65">
        <f t="shared" si="1"/>
        <v>1</v>
      </c>
      <c r="Q65">
        <f t="shared" si="2"/>
        <v>0</v>
      </c>
      <c r="R65">
        <f t="shared" si="3"/>
        <v>0</v>
      </c>
      <c r="S65">
        <f t="shared" si="4"/>
        <v>1</v>
      </c>
      <c r="T65">
        <f t="shared" si="5"/>
        <v>0</v>
      </c>
    </row>
    <row r="66" spans="1:20">
      <c r="A66" t="s">
        <v>38</v>
      </c>
      <c r="B66" s="2">
        <v>45658</v>
      </c>
      <c r="C66" t="s">
        <v>27</v>
      </c>
      <c r="D66" t="s">
        <v>18</v>
      </c>
      <c r="E66">
        <v>70040.31</v>
      </c>
      <c r="F66">
        <v>9175</v>
      </c>
      <c r="G66">
        <v>0.107</v>
      </c>
      <c r="H66">
        <v>23</v>
      </c>
      <c r="I66">
        <v>95.1</v>
      </c>
      <c r="J66">
        <v>6.08</v>
      </c>
      <c r="K66">
        <v>1</v>
      </c>
      <c r="L66">
        <v>3.4</v>
      </c>
      <c r="M66">
        <v>784502.68</v>
      </c>
      <c r="N66">
        <v>129519.72</v>
      </c>
      <c r="O66">
        <f t="shared" si="0"/>
        <v>0</v>
      </c>
      <c r="P66">
        <f t="shared" si="1"/>
        <v>0</v>
      </c>
      <c r="Q66">
        <f t="shared" si="2"/>
        <v>1</v>
      </c>
      <c r="R66">
        <f t="shared" si="3"/>
        <v>0</v>
      </c>
      <c r="S66">
        <f t="shared" si="4"/>
        <v>1</v>
      </c>
      <c r="T66">
        <f t="shared" si="5"/>
        <v>0</v>
      </c>
    </row>
    <row r="67" spans="1:20">
      <c r="A67" t="s">
        <v>38</v>
      </c>
      <c r="B67" s="2">
        <v>45689</v>
      </c>
      <c r="C67" t="s">
        <v>27</v>
      </c>
      <c r="D67" t="s">
        <v>18</v>
      </c>
      <c r="E67">
        <v>51148.69</v>
      </c>
      <c r="F67">
        <v>7940</v>
      </c>
      <c r="G67">
        <v>0.156</v>
      </c>
      <c r="H67">
        <v>18</v>
      </c>
      <c r="I67">
        <v>93.3</v>
      </c>
      <c r="J67">
        <v>10.91</v>
      </c>
      <c r="K67">
        <v>0</v>
      </c>
      <c r="L67">
        <v>3.6</v>
      </c>
      <c r="M67">
        <v>717141.55</v>
      </c>
      <c r="N67">
        <v>134013.60999999999</v>
      </c>
      <c r="O67">
        <f t="shared" ref="O67:O130" si="6">IF(C67="North",1,0)</f>
        <v>0</v>
      </c>
      <c r="P67">
        <f t="shared" ref="P67:P130" si="7">IF(C67="South",1,0)</f>
        <v>0</v>
      </c>
      <c r="Q67">
        <f t="shared" ref="Q67:Q130" si="8">IF(C67="West",1,0)</f>
        <v>1</v>
      </c>
      <c r="R67">
        <f t="shared" ref="R67:R130" si="9">IF(D67="Airport",1,0)</f>
        <v>0</v>
      </c>
      <c r="S67">
        <f t="shared" ref="S67:S130" si="10">IF(D67="High Street",1,0)</f>
        <v>1</v>
      </c>
      <c r="T67">
        <f t="shared" ref="T67:T130" si="11">IF(D67="Mall",1,0)</f>
        <v>0</v>
      </c>
    </row>
    <row r="68" spans="1:20">
      <c r="A68" t="s">
        <v>38</v>
      </c>
      <c r="B68" s="2">
        <v>45717</v>
      </c>
      <c r="C68" t="s">
        <v>27</v>
      </c>
      <c r="D68" t="s">
        <v>18</v>
      </c>
      <c r="E68">
        <v>79346.100000000006</v>
      </c>
      <c r="F68">
        <v>9628</v>
      </c>
      <c r="G68">
        <v>0.10199999999999999</v>
      </c>
      <c r="H68">
        <v>20</v>
      </c>
      <c r="I68">
        <v>99</v>
      </c>
      <c r="J68">
        <v>19.010000000000002</v>
      </c>
      <c r="K68">
        <v>1</v>
      </c>
      <c r="L68">
        <v>3.2</v>
      </c>
      <c r="M68">
        <v>685379.08</v>
      </c>
      <c r="N68">
        <v>106898.82</v>
      </c>
      <c r="O68">
        <f t="shared" si="6"/>
        <v>0</v>
      </c>
      <c r="P68">
        <f t="shared" si="7"/>
        <v>0</v>
      </c>
      <c r="Q68">
        <f t="shared" si="8"/>
        <v>1</v>
      </c>
      <c r="R68">
        <f t="shared" si="9"/>
        <v>0</v>
      </c>
      <c r="S68">
        <f t="shared" si="10"/>
        <v>1</v>
      </c>
      <c r="T68">
        <f t="shared" si="11"/>
        <v>0</v>
      </c>
    </row>
    <row r="69" spans="1:20">
      <c r="A69" t="s">
        <v>38</v>
      </c>
      <c r="B69" s="2">
        <v>45748</v>
      </c>
      <c r="C69" t="s">
        <v>27</v>
      </c>
      <c r="D69" t="s">
        <v>18</v>
      </c>
      <c r="E69">
        <v>42018.400000000001</v>
      </c>
      <c r="F69">
        <v>8296</v>
      </c>
      <c r="G69">
        <v>0.115</v>
      </c>
      <c r="H69">
        <v>17</v>
      </c>
      <c r="I69">
        <v>91.8</v>
      </c>
      <c r="J69">
        <v>0.77</v>
      </c>
      <c r="K69">
        <v>0</v>
      </c>
      <c r="L69">
        <v>3.4</v>
      </c>
      <c r="M69">
        <v>740496.65</v>
      </c>
      <c r="N69">
        <v>128020.9</v>
      </c>
      <c r="O69">
        <f t="shared" si="6"/>
        <v>0</v>
      </c>
      <c r="P69">
        <f t="shared" si="7"/>
        <v>0</v>
      </c>
      <c r="Q69">
        <f t="shared" si="8"/>
        <v>1</v>
      </c>
      <c r="R69">
        <f t="shared" si="9"/>
        <v>0</v>
      </c>
      <c r="S69">
        <f t="shared" si="10"/>
        <v>1</v>
      </c>
      <c r="T69">
        <f t="shared" si="11"/>
        <v>0</v>
      </c>
    </row>
    <row r="70" spans="1:20">
      <c r="A70" t="s">
        <v>39</v>
      </c>
      <c r="B70" s="2">
        <v>45658</v>
      </c>
      <c r="C70" t="s">
        <v>15</v>
      </c>
      <c r="D70" t="s">
        <v>18</v>
      </c>
      <c r="E70">
        <v>70937.240000000005</v>
      </c>
      <c r="F70">
        <v>3595</v>
      </c>
      <c r="G70">
        <v>0.14099999999999999</v>
      </c>
      <c r="H70">
        <v>11</v>
      </c>
      <c r="I70">
        <v>88.9</v>
      </c>
      <c r="J70">
        <v>2.83</v>
      </c>
      <c r="K70">
        <v>1</v>
      </c>
      <c r="L70">
        <v>3.3</v>
      </c>
      <c r="M70">
        <v>661927.14</v>
      </c>
      <c r="N70">
        <v>79218.570000000007</v>
      </c>
      <c r="O70">
        <f t="shared" si="6"/>
        <v>0</v>
      </c>
      <c r="P70">
        <f t="shared" si="7"/>
        <v>0</v>
      </c>
      <c r="Q70">
        <f t="shared" si="8"/>
        <v>0</v>
      </c>
      <c r="R70">
        <f t="shared" si="9"/>
        <v>0</v>
      </c>
      <c r="S70">
        <f t="shared" si="10"/>
        <v>1</v>
      </c>
      <c r="T70">
        <f t="shared" si="11"/>
        <v>0</v>
      </c>
    </row>
    <row r="71" spans="1:20">
      <c r="A71" t="s">
        <v>39</v>
      </c>
      <c r="B71" s="2">
        <v>45689</v>
      </c>
      <c r="C71" t="s">
        <v>15</v>
      </c>
      <c r="D71" t="s">
        <v>18</v>
      </c>
      <c r="E71">
        <v>36813.449999999997</v>
      </c>
      <c r="F71">
        <v>2834</v>
      </c>
      <c r="G71">
        <v>0.191</v>
      </c>
      <c r="H71">
        <v>11</v>
      </c>
      <c r="I71">
        <v>81.8</v>
      </c>
      <c r="J71">
        <v>2.33</v>
      </c>
      <c r="K71">
        <v>0</v>
      </c>
      <c r="L71">
        <v>3.3</v>
      </c>
      <c r="M71">
        <v>479050.5</v>
      </c>
      <c r="N71">
        <v>53651.11</v>
      </c>
      <c r="O71">
        <f t="shared" si="6"/>
        <v>0</v>
      </c>
      <c r="P71">
        <f t="shared" si="7"/>
        <v>0</v>
      </c>
      <c r="Q71">
        <f t="shared" si="8"/>
        <v>0</v>
      </c>
      <c r="R71">
        <f t="shared" si="9"/>
        <v>0</v>
      </c>
      <c r="S71">
        <f t="shared" si="10"/>
        <v>1</v>
      </c>
      <c r="T71">
        <f t="shared" si="11"/>
        <v>0</v>
      </c>
    </row>
    <row r="72" spans="1:20">
      <c r="A72" t="s">
        <v>39</v>
      </c>
      <c r="B72" s="2">
        <v>45717</v>
      </c>
      <c r="C72" t="s">
        <v>15</v>
      </c>
      <c r="D72" t="s">
        <v>18</v>
      </c>
      <c r="E72">
        <v>60571.82</v>
      </c>
      <c r="F72">
        <v>3193</v>
      </c>
      <c r="G72">
        <v>0.19700000000000001</v>
      </c>
      <c r="H72">
        <v>7</v>
      </c>
      <c r="I72">
        <v>99</v>
      </c>
      <c r="J72">
        <v>1.43</v>
      </c>
      <c r="K72">
        <v>0</v>
      </c>
      <c r="L72">
        <v>3.2</v>
      </c>
      <c r="M72">
        <v>605023.87</v>
      </c>
      <c r="N72">
        <v>98545.81</v>
      </c>
      <c r="O72">
        <f t="shared" si="6"/>
        <v>0</v>
      </c>
      <c r="P72">
        <f t="shared" si="7"/>
        <v>0</v>
      </c>
      <c r="Q72">
        <f t="shared" si="8"/>
        <v>0</v>
      </c>
      <c r="R72">
        <f t="shared" si="9"/>
        <v>0</v>
      </c>
      <c r="S72">
        <f t="shared" si="10"/>
        <v>1</v>
      </c>
      <c r="T72">
        <f t="shared" si="11"/>
        <v>0</v>
      </c>
    </row>
    <row r="73" spans="1:20">
      <c r="A73" t="s">
        <v>39</v>
      </c>
      <c r="B73" s="2">
        <v>45748</v>
      </c>
      <c r="C73" t="s">
        <v>15</v>
      </c>
      <c r="D73" t="s">
        <v>18</v>
      </c>
      <c r="E73">
        <v>55081.16</v>
      </c>
      <c r="F73">
        <v>5485</v>
      </c>
      <c r="G73">
        <v>3.5999999999999997E-2</v>
      </c>
      <c r="H73">
        <v>12</v>
      </c>
      <c r="I73">
        <v>88</v>
      </c>
      <c r="J73">
        <v>4.5590445859872597</v>
      </c>
      <c r="K73">
        <v>0</v>
      </c>
      <c r="L73">
        <v>3.5</v>
      </c>
      <c r="M73">
        <v>674774.09</v>
      </c>
      <c r="N73">
        <v>141917.59</v>
      </c>
      <c r="O73">
        <f t="shared" si="6"/>
        <v>0</v>
      </c>
      <c r="P73">
        <f t="shared" si="7"/>
        <v>0</v>
      </c>
      <c r="Q73">
        <f t="shared" si="8"/>
        <v>0</v>
      </c>
      <c r="R73">
        <f t="shared" si="9"/>
        <v>0</v>
      </c>
      <c r="S73">
        <f t="shared" si="10"/>
        <v>1</v>
      </c>
      <c r="T73">
        <f t="shared" si="11"/>
        <v>0</v>
      </c>
    </row>
    <row r="74" spans="1:20">
      <c r="A74" t="s">
        <v>40</v>
      </c>
      <c r="B74" s="2">
        <v>45658</v>
      </c>
      <c r="C74" t="s">
        <v>15</v>
      </c>
      <c r="D74" t="s">
        <v>16</v>
      </c>
      <c r="E74">
        <v>46201.46</v>
      </c>
      <c r="F74">
        <v>5918</v>
      </c>
      <c r="G74">
        <v>0.27700000000000002</v>
      </c>
      <c r="H74">
        <v>13</v>
      </c>
      <c r="I74">
        <v>78.8</v>
      </c>
      <c r="J74">
        <v>4.91</v>
      </c>
      <c r="K74">
        <v>0</v>
      </c>
      <c r="L74">
        <v>4.5</v>
      </c>
      <c r="M74">
        <v>616069.41</v>
      </c>
      <c r="N74">
        <v>54453.99</v>
      </c>
      <c r="O74">
        <f t="shared" si="6"/>
        <v>0</v>
      </c>
      <c r="P74">
        <f t="shared" si="7"/>
        <v>0</v>
      </c>
      <c r="Q74">
        <f t="shared" si="8"/>
        <v>0</v>
      </c>
      <c r="R74">
        <f t="shared" si="9"/>
        <v>0</v>
      </c>
      <c r="S74">
        <f t="shared" si="10"/>
        <v>0</v>
      </c>
      <c r="T74">
        <f t="shared" si="11"/>
        <v>0</v>
      </c>
    </row>
    <row r="75" spans="1:20">
      <c r="A75" t="s">
        <v>40</v>
      </c>
      <c r="B75" s="2">
        <v>45689</v>
      </c>
      <c r="C75" t="s">
        <v>15</v>
      </c>
      <c r="D75" t="s">
        <v>16</v>
      </c>
      <c r="E75">
        <v>53762.92</v>
      </c>
      <c r="F75">
        <v>6821</v>
      </c>
      <c r="G75">
        <v>6.6000000000000003E-2</v>
      </c>
      <c r="H75">
        <v>19</v>
      </c>
      <c r="I75">
        <v>94.6</v>
      </c>
      <c r="J75">
        <v>7.03</v>
      </c>
      <c r="K75">
        <v>0</v>
      </c>
      <c r="L75">
        <v>4.4000000000000004</v>
      </c>
      <c r="M75">
        <v>630829.93999999994</v>
      </c>
      <c r="N75">
        <v>117090.02</v>
      </c>
      <c r="O75">
        <f t="shared" si="6"/>
        <v>0</v>
      </c>
      <c r="P75">
        <f t="shared" si="7"/>
        <v>0</v>
      </c>
      <c r="Q75">
        <f t="shared" si="8"/>
        <v>0</v>
      </c>
      <c r="R75">
        <f t="shared" si="9"/>
        <v>0</v>
      </c>
      <c r="S75">
        <f t="shared" si="10"/>
        <v>0</v>
      </c>
      <c r="T75">
        <f t="shared" si="11"/>
        <v>0</v>
      </c>
    </row>
    <row r="76" spans="1:20">
      <c r="A76" t="s">
        <v>40</v>
      </c>
      <c r="B76" s="2">
        <v>45717</v>
      </c>
      <c r="C76" t="s">
        <v>15</v>
      </c>
      <c r="D76" t="s">
        <v>16</v>
      </c>
      <c r="E76">
        <v>70144.78</v>
      </c>
      <c r="F76">
        <v>6806</v>
      </c>
      <c r="G76">
        <v>0.17799999999999999</v>
      </c>
      <c r="H76">
        <v>20</v>
      </c>
      <c r="I76">
        <v>93.1</v>
      </c>
      <c r="J76">
        <v>0.28000000000000003</v>
      </c>
      <c r="K76">
        <v>1</v>
      </c>
      <c r="L76">
        <v>4.3</v>
      </c>
      <c r="M76">
        <v>788087.68</v>
      </c>
      <c r="N76">
        <v>116803.42</v>
      </c>
      <c r="O76">
        <f t="shared" si="6"/>
        <v>0</v>
      </c>
      <c r="P76">
        <f t="shared" si="7"/>
        <v>0</v>
      </c>
      <c r="Q76">
        <f t="shared" si="8"/>
        <v>0</v>
      </c>
      <c r="R76">
        <f t="shared" si="9"/>
        <v>0</v>
      </c>
      <c r="S76">
        <f t="shared" si="10"/>
        <v>0</v>
      </c>
      <c r="T76">
        <f t="shared" si="11"/>
        <v>0</v>
      </c>
    </row>
    <row r="77" spans="1:20">
      <c r="A77" t="s">
        <v>40</v>
      </c>
      <c r="B77" s="2">
        <v>45748</v>
      </c>
      <c r="C77" t="s">
        <v>15</v>
      </c>
      <c r="D77" t="s">
        <v>16</v>
      </c>
      <c r="E77">
        <v>58749.63</v>
      </c>
      <c r="F77">
        <v>8252</v>
      </c>
      <c r="G77">
        <v>0.20300000000000001</v>
      </c>
      <c r="H77">
        <v>20</v>
      </c>
      <c r="I77">
        <v>85.2</v>
      </c>
      <c r="J77">
        <v>3.61</v>
      </c>
      <c r="K77">
        <v>0</v>
      </c>
      <c r="L77">
        <v>4.5</v>
      </c>
      <c r="M77">
        <v>680840.36</v>
      </c>
      <c r="N77">
        <v>68007.679999999993</v>
      </c>
      <c r="O77">
        <f t="shared" si="6"/>
        <v>0</v>
      </c>
      <c r="P77">
        <f t="shared" si="7"/>
        <v>0</v>
      </c>
      <c r="Q77">
        <f t="shared" si="8"/>
        <v>0</v>
      </c>
      <c r="R77">
        <f t="shared" si="9"/>
        <v>0</v>
      </c>
      <c r="S77">
        <f t="shared" si="10"/>
        <v>0</v>
      </c>
      <c r="T77">
        <f t="shared" si="11"/>
        <v>0</v>
      </c>
    </row>
    <row r="78" spans="1:20">
      <c r="A78" t="s">
        <v>41</v>
      </c>
      <c r="B78" s="2">
        <v>45658</v>
      </c>
      <c r="C78" t="s">
        <v>24</v>
      </c>
      <c r="D78" t="s">
        <v>18</v>
      </c>
      <c r="E78">
        <v>56973.18</v>
      </c>
      <c r="F78">
        <v>6662</v>
      </c>
      <c r="G78">
        <v>0.1</v>
      </c>
      <c r="H78">
        <v>15</v>
      </c>
      <c r="I78">
        <v>77.7</v>
      </c>
      <c r="J78">
        <v>7.52</v>
      </c>
      <c r="K78">
        <v>1</v>
      </c>
      <c r="L78">
        <v>3.2</v>
      </c>
      <c r="M78">
        <v>643657.47</v>
      </c>
      <c r="N78">
        <v>87022.45</v>
      </c>
      <c r="O78">
        <f t="shared" si="6"/>
        <v>0</v>
      </c>
      <c r="P78">
        <f t="shared" si="7"/>
        <v>1</v>
      </c>
      <c r="Q78">
        <f t="shared" si="8"/>
        <v>0</v>
      </c>
      <c r="R78">
        <f t="shared" si="9"/>
        <v>0</v>
      </c>
      <c r="S78">
        <f t="shared" si="10"/>
        <v>1</v>
      </c>
      <c r="T78">
        <f t="shared" si="11"/>
        <v>0</v>
      </c>
    </row>
    <row r="79" spans="1:20">
      <c r="A79" t="s">
        <v>41</v>
      </c>
      <c r="B79" s="2">
        <v>45689</v>
      </c>
      <c r="C79" t="s">
        <v>24</v>
      </c>
      <c r="D79" t="s">
        <v>18</v>
      </c>
      <c r="E79">
        <v>54872.82</v>
      </c>
      <c r="F79">
        <v>5962</v>
      </c>
      <c r="G79">
        <v>6.4000000000000001E-2</v>
      </c>
      <c r="H79">
        <v>12</v>
      </c>
      <c r="I79">
        <v>85.4</v>
      </c>
      <c r="J79">
        <v>2.58</v>
      </c>
      <c r="K79">
        <v>0</v>
      </c>
      <c r="L79">
        <v>2.9</v>
      </c>
      <c r="M79">
        <v>691112.6</v>
      </c>
      <c r="N79">
        <v>109212.83</v>
      </c>
      <c r="O79">
        <f t="shared" si="6"/>
        <v>0</v>
      </c>
      <c r="P79">
        <f t="shared" si="7"/>
        <v>1</v>
      </c>
      <c r="Q79">
        <f t="shared" si="8"/>
        <v>0</v>
      </c>
      <c r="R79">
        <f t="shared" si="9"/>
        <v>0</v>
      </c>
      <c r="S79">
        <f t="shared" si="10"/>
        <v>1</v>
      </c>
      <c r="T79">
        <f t="shared" si="11"/>
        <v>0</v>
      </c>
    </row>
    <row r="80" spans="1:20">
      <c r="A80" t="s">
        <v>41</v>
      </c>
      <c r="B80" s="2">
        <v>45717</v>
      </c>
      <c r="C80" t="s">
        <v>24</v>
      </c>
      <c r="D80" t="s">
        <v>18</v>
      </c>
      <c r="E80">
        <v>80562.81</v>
      </c>
      <c r="F80">
        <v>7470</v>
      </c>
      <c r="G80">
        <v>0.17199999999999999</v>
      </c>
      <c r="H80">
        <v>16</v>
      </c>
      <c r="I80">
        <v>83.5</v>
      </c>
      <c r="J80">
        <v>2.29</v>
      </c>
      <c r="K80">
        <v>0</v>
      </c>
      <c r="L80">
        <v>3.3</v>
      </c>
      <c r="M80">
        <v>776922.17</v>
      </c>
      <c r="N80">
        <v>150701.93</v>
      </c>
      <c r="O80">
        <f t="shared" si="6"/>
        <v>0</v>
      </c>
      <c r="P80">
        <f t="shared" si="7"/>
        <v>1</v>
      </c>
      <c r="Q80">
        <f t="shared" si="8"/>
        <v>0</v>
      </c>
      <c r="R80">
        <f t="shared" si="9"/>
        <v>0</v>
      </c>
      <c r="S80">
        <f t="shared" si="10"/>
        <v>1</v>
      </c>
      <c r="T80">
        <f t="shared" si="11"/>
        <v>0</v>
      </c>
    </row>
    <row r="81" spans="1:20">
      <c r="A81" t="s">
        <v>41</v>
      </c>
      <c r="B81" s="2">
        <v>45748</v>
      </c>
      <c r="C81" t="s">
        <v>24</v>
      </c>
      <c r="D81" t="s">
        <v>18</v>
      </c>
      <c r="E81">
        <v>77999.899999999994</v>
      </c>
      <c r="F81">
        <v>5974</v>
      </c>
      <c r="G81">
        <v>0.252</v>
      </c>
      <c r="H81">
        <v>14</v>
      </c>
      <c r="I81">
        <v>81.3</v>
      </c>
      <c r="J81">
        <v>2.39</v>
      </c>
      <c r="K81">
        <v>0</v>
      </c>
      <c r="L81">
        <v>3.2</v>
      </c>
      <c r="M81">
        <v>636561.34</v>
      </c>
      <c r="N81">
        <v>93861.06</v>
      </c>
      <c r="O81">
        <f t="shared" si="6"/>
        <v>0</v>
      </c>
      <c r="P81">
        <f t="shared" si="7"/>
        <v>1</v>
      </c>
      <c r="Q81">
        <f t="shared" si="8"/>
        <v>0</v>
      </c>
      <c r="R81">
        <f t="shared" si="9"/>
        <v>0</v>
      </c>
      <c r="S81">
        <f t="shared" si="10"/>
        <v>1</v>
      </c>
      <c r="T81">
        <f t="shared" si="11"/>
        <v>0</v>
      </c>
    </row>
    <row r="82" spans="1:20">
      <c r="A82" t="s">
        <v>42</v>
      </c>
      <c r="B82" s="2">
        <v>45658</v>
      </c>
      <c r="C82" t="s">
        <v>27</v>
      </c>
      <c r="D82" t="s">
        <v>28</v>
      </c>
      <c r="E82">
        <v>60881.01</v>
      </c>
      <c r="F82">
        <v>5410</v>
      </c>
      <c r="G82">
        <v>0.17899999999999999</v>
      </c>
      <c r="H82">
        <v>15</v>
      </c>
      <c r="I82">
        <v>83.9</v>
      </c>
      <c r="J82">
        <v>5.24</v>
      </c>
      <c r="K82">
        <v>0</v>
      </c>
      <c r="L82">
        <v>4.5999999999999996</v>
      </c>
      <c r="M82">
        <v>621369.57999999996</v>
      </c>
      <c r="N82">
        <v>85493.64</v>
      </c>
      <c r="O82">
        <f t="shared" si="6"/>
        <v>0</v>
      </c>
      <c r="P82">
        <f t="shared" si="7"/>
        <v>0</v>
      </c>
      <c r="Q82">
        <f t="shared" si="8"/>
        <v>1</v>
      </c>
      <c r="R82">
        <f t="shared" si="9"/>
        <v>0</v>
      </c>
      <c r="S82">
        <f t="shared" si="10"/>
        <v>0</v>
      </c>
      <c r="T82">
        <f t="shared" si="11"/>
        <v>1</v>
      </c>
    </row>
    <row r="83" spans="1:20">
      <c r="A83" t="s">
        <v>42</v>
      </c>
      <c r="B83" s="2">
        <v>45689</v>
      </c>
      <c r="C83" t="s">
        <v>27</v>
      </c>
      <c r="D83" t="s">
        <v>28</v>
      </c>
      <c r="E83">
        <v>60628.38</v>
      </c>
      <c r="F83">
        <v>4451</v>
      </c>
      <c r="G83">
        <v>9.5000000000000001E-2</v>
      </c>
      <c r="H83">
        <v>10</v>
      </c>
      <c r="I83">
        <v>89.6</v>
      </c>
      <c r="J83">
        <v>3.17</v>
      </c>
      <c r="K83">
        <v>0</v>
      </c>
      <c r="L83">
        <v>4.5999999999999996</v>
      </c>
      <c r="M83">
        <v>682208.01</v>
      </c>
      <c r="N83">
        <v>110318.84</v>
      </c>
      <c r="O83">
        <f t="shared" si="6"/>
        <v>0</v>
      </c>
      <c r="P83">
        <f t="shared" si="7"/>
        <v>0</v>
      </c>
      <c r="Q83">
        <f t="shared" si="8"/>
        <v>1</v>
      </c>
      <c r="R83">
        <f t="shared" si="9"/>
        <v>0</v>
      </c>
      <c r="S83">
        <f t="shared" si="10"/>
        <v>0</v>
      </c>
      <c r="T83">
        <f t="shared" si="11"/>
        <v>1</v>
      </c>
    </row>
    <row r="84" spans="1:20">
      <c r="A84" t="s">
        <v>42</v>
      </c>
      <c r="B84" s="2">
        <v>45717</v>
      </c>
      <c r="C84" t="s">
        <v>27</v>
      </c>
      <c r="D84" t="s">
        <v>28</v>
      </c>
      <c r="E84">
        <v>72731.14</v>
      </c>
      <c r="F84">
        <v>4644</v>
      </c>
      <c r="G84">
        <v>8.4000000000000005E-2</v>
      </c>
      <c r="H84">
        <v>15</v>
      </c>
      <c r="I84">
        <v>87.1</v>
      </c>
      <c r="J84">
        <v>2.66</v>
      </c>
      <c r="K84">
        <v>0</v>
      </c>
      <c r="L84">
        <v>4.5999999999999996</v>
      </c>
      <c r="M84">
        <v>727241.86</v>
      </c>
      <c r="N84">
        <v>155810.29999999999</v>
      </c>
      <c r="O84">
        <f t="shared" si="6"/>
        <v>0</v>
      </c>
      <c r="P84">
        <f t="shared" si="7"/>
        <v>0</v>
      </c>
      <c r="Q84">
        <f t="shared" si="8"/>
        <v>1</v>
      </c>
      <c r="R84">
        <f t="shared" si="9"/>
        <v>0</v>
      </c>
      <c r="S84">
        <f t="shared" si="10"/>
        <v>0</v>
      </c>
      <c r="T84">
        <f t="shared" si="11"/>
        <v>1</v>
      </c>
    </row>
    <row r="85" spans="1:20">
      <c r="A85" t="s">
        <v>42</v>
      </c>
      <c r="B85" s="2">
        <v>45748</v>
      </c>
      <c r="C85" t="s">
        <v>27</v>
      </c>
      <c r="D85" t="s">
        <v>28</v>
      </c>
      <c r="E85">
        <v>36475.71</v>
      </c>
      <c r="F85">
        <v>3559</v>
      </c>
      <c r="G85">
        <v>0.03</v>
      </c>
      <c r="H85">
        <v>8</v>
      </c>
      <c r="I85">
        <v>83.6</v>
      </c>
      <c r="J85">
        <v>1.41</v>
      </c>
      <c r="K85">
        <v>0</v>
      </c>
      <c r="L85">
        <v>4.2</v>
      </c>
      <c r="M85">
        <v>569100.78</v>
      </c>
      <c r="N85">
        <v>104808.78</v>
      </c>
      <c r="O85">
        <f t="shared" si="6"/>
        <v>0</v>
      </c>
      <c r="P85">
        <f t="shared" si="7"/>
        <v>0</v>
      </c>
      <c r="Q85">
        <f t="shared" si="8"/>
        <v>1</v>
      </c>
      <c r="R85">
        <f t="shared" si="9"/>
        <v>0</v>
      </c>
      <c r="S85">
        <f t="shared" si="10"/>
        <v>0</v>
      </c>
      <c r="T85">
        <f t="shared" si="11"/>
        <v>1</v>
      </c>
    </row>
    <row r="86" spans="1:20">
      <c r="A86" t="s">
        <v>43</v>
      </c>
      <c r="B86" s="2">
        <v>45658</v>
      </c>
      <c r="C86" t="s">
        <v>27</v>
      </c>
      <c r="D86" t="s">
        <v>18</v>
      </c>
      <c r="E86">
        <v>55388.11</v>
      </c>
      <c r="F86">
        <v>3091</v>
      </c>
      <c r="G86">
        <v>0.108</v>
      </c>
      <c r="H86">
        <v>7</v>
      </c>
      <c r="I86">
        <v>85.4</v>
      </c>
      <c r="J86">
        <v>7.34</v>
      </c>
      <c r="K86">
        <v>0</v>
      </c>
      <c r="L86">
        <v>4.9000000000000004</v>
      </c>
      <c r="M86">
        <v>574436.29</v>
      </c>
      <c r="N86">
        <v>80271.990000000005</v>
      </c>
      <c r="O86">
        <f t="shared" si="6"/>
        <v>0</v>
      </c>
      <c r="P86">
        <f t="shared" si="7"/>
        <v>0</v>
      </c>
      <c r="Q86">
        <f t="shared" si="8"/>
        <v>1</v>
      </c>
      <c r="R86">
        <f t="shared" si="9"/>
        <v>0</v>
      </c>
      <c r="S86">
        <f t="shared" si="10"/>
        <v>1</v>
      </c>
      <c r="T86">
        <f t="shared" si="11"/>
        <v>0</v>
      </c>
    </row>
    <row r="87" spans="1:20">
      <c r="A87" t="s">
        <v>43</v>
      </c>
      <c r="B87" s="2">
        <v>45689</v>
      </c>
      <c r="C87" t="s">
        <v>27</v>
      </c>
      <c r="D87" t="s">
        <v>18</v>
      </c>
      <c r="E87">
        <v>88443.77</v>
      </c>
      <c r="F87">
        <v>4004</v>
      </c>
      <c r="G87">
        <v>0.20599999999999999</v>
      </c>
      <c r="H87">
        <v>11</v>
      </c>
      <c r="I87">
        <v>91.9</v>
      </c>
      <c r="J87">
        <v>5.95</v>
      </c>
      <c r="K87">
        <v>0</v>
      </c>
      <c r="L87">
        <v>3.9246794871794877</v>
      </c>
      <c r="M87">
        <v>611766.72</v>
      </c>
      <c r="N87">
        <v>88275.61</v>
      </c>
      <c r="O87">
        <f t="shared" si="6"/>
        <v>0</v>
      </c>
      <c r="P87">
        <f t="shared" si="7"/>
        <v>0</v>
      </c>
      <c r="Q87">
        <f t="shared" si="8"/>
        <v>1</v>
      </c>
      <c r="R87">
        <f t="shared" si="9"/>
        <v>0</v>
      </c>
      <c r="S87">
        <f t="shared" si="10"/>
        <v>1</v>
      </c>
      <c r="T87">
        <f t="shared" si="11"/>
        <v>0</v>
      </c>
    </row>
    <row r="88" spans="1:20">
      <c r="A88" t="s">
        <v>43</v>
      </c>
      <c r="B88" s="2">
        <v>45717</v>
      </c>
      <c r="C88" t="s">
        <v>27</v>
      </c>
      <c r="D88" t="s">
        <v>18</v>
      </c>
      <c r="E88">
        <v>78231.91</v>
      </c>
      <c r="F88">
        <v>3788</v>
      </c>
      <c r="G88">
        <v>5.8999999999999997E-2</v>
      </c>
      <c r="H88">
        <v>11</v>
      </c>
      <c r="I88">
        <v>88.5</v>
      </c>
      <c r="J88">
        <v>15.51</v>
      </c>
      <c r="K88">
        <v>0</v>
      </c>
      <c r="L88">
        <v>4.3</v>
      </c>
      <c r="M88">
        <v>614596.31999999995</v>
      </c>
      <c r="N88">
        <v>131199.41</v>
      </c>
      <c r="O88">
        <f t="shared" si="6"/>
        <v>0</v>
      </c>
      <c r="P88">
        <f t="shared" si="7"/>
        <v>0</v>
      </c>
      <c r="Q88">
        <f t="shared" si="8"/>
        <v>1</v>
      </c>
      <c r="R88">
        <f t="shared" si="9"/>
        <v>0</v>
      </c>
      <c r="S88">
        <f t="shared" si="10"/>
        <v>1</v>
      </c>
      <c r="T88">
        <f t="shared" si="11"/>
        <v>0</v>
      </c>
    </row>
    <row r="89" spans="1:20">
      <c r="A89" t="s">
        <v>43</v>
      </c>
      <c r="B89" s="2">
        <v>45748</v>
      </c>
      <c r="C89" t="s">
        <v>27</v>
      </c>
      <c r="D89" t="s">
        <v>18</v>
      </c>
      <c r="E89">
        <v>18996.32</v>
      </c>
      <c r="F89">
        <v>1260</v>
      </c>
      <c r="G89">
        <v>0.14499999999999999</v>
      </c>
      <c r="H89">
        <v>9</v>
      </c>
      <c r="I89">
        <v>86.4</v>
      </c>
      <c r="J89">
        <v>4.3099999999999996</v>
      </c>
      <c r="K89">
        <v>0</v>
      </c>
      <c r="L89">
        <v>4.5999999999999996</v>
      </c>
      <c r="M89">
        <v>450711.92</v>
      </c>
      <c r="N89">
        <v>90043.76</v>
      </c>
      <c r="O89">
        <f t="shared" si="6"/>
        <v>0</v>
      </c>
      <c r="P89">
        <f t="shared" si="7"/>
        <v>0</v>
      </c>
      <c r="Q89">
        <f t="shared" si="8"/>
        <v>1</v>
      </c>
      <c r="R89">
        <f t="shared" si="9"/>
        <v>0</v>
      </c>
      <c r="S89">
        <f t="shared" si="10"/>
        <v>1</v>
      </c>
      <c r="T89">
        <f t="shared" si="11"/>
        <v>0</v>
      </c>
    </row>
    <row r="90" spans="1:20">
      <c r="A90" t="s">
        <v>44</v>
      </c>
      <c r="B90" s="2">
        <v>45658</v>
      </c>
      <c r="C90" t="s">
        <v>24</v>
      </c>
      <c r="D90" t="s">
        <v>28</v>
      </c>
      <c r="E90">
        <v>50517.94</v>
      </c>
      <c r="F90">
        <v>7024</v>
      </c>
      <c r="G90">
        <v>2.9000000000000001E-2</v>
      </c>
      <c r="H90">
        <v>18</v>
      </c>
      <c r="I90">
        <v>79.2</v>
      </c>
      <c r="J90">
        <v>6.61</v>
      </c>
      <c r="K90">
        <v>1</v>
      </c>
      <c r="L90">
        <v>4.0999999999999996</v>
      </c>
      <c r="M90">
        <v>711213.46</v>
      </c>
      <c r="N90">
        <v>105863.26</v>
      </c>
      <c r="O90">
        <f t="shared" si="6"/>
        <v>0</v>
      </c>
      <c r="P90">
        <f t="shared" si="7"/>
        <v>1</v>
      </c>
      <c r="Q90">
        <f t="shared" si="8"/>
        <v>0</v>
      </c>
      <c r="R90">
        <f t="shared" si="9"/>
        <v>0</v>
      </c>
      <c r="S90">
        <f t="shared" si="10"/>
        <v>0</v>
      </c>
      <c r="T90">
        <f t="shared" si="11"/>
        <v>1</v>
      </c>
    </row>
    <row r="91" spans="1:20">
      <c r="A91" t="s">
        <v>44</v>
      </c>
      <c r="B91" s="2">
        <v>45689</v>
      </c>
      <c r="C91" t="s">
        <v>24</v>
      </c>
      <c r="D91" t="s">
        <v>28</v>
      </c>
      <c r="E91">
        <v>141540.29</v>
      </c>
      <c r="F91">
        <v>5400</v>
      </c>
      <c r="G91">
        <v>1.2999999999999999E-2</v>
      </c>
      <c r="H91">
        <v>12</v>
      </c>
      <c r="I91">
        <v>87</v>
      </c>
      <c r="J91">
        <v>4.26</v>
      </c>
      <c r="K91">
        <v>0</v>
      </c>
      <c r="L91">
        <v>4.5</v>
      </c>
      <c r="M91">
        <v>627171.9</v>
      </c>
      <c r="N91">
        <v>105772.75</v>
      </c>
      <c r="O91">
        <f t="shared" si="6"/>
        <v>0</v>
      </c>
      <c r="P91">
        <f t="shared" si="7"/>
        <v>1</v>
      </c>
      <c r="Q91">
        <f t="shared" si="8"/>
        <v>0</v>
      </c>
      <c r="R91">
        <f t="shared" si="9"/>
        <v>0</v>
      </c>
      <c r="S91">
        <f t="shared" si="10"/>
        <v>0</v>
      </c>
      <c r="T91">
        <f t="shared" si="11"/>
        <v>1</v>
      </c>
    </row>
    <row r="92" spans="1:20">
      <c r="A92" t="s">
        <v>44</v>
      </c>
      <c r="B92" s="2">
        <v>45717</v>
      </c>
      <c r="C92" t="s">
        <v>24</v>
      </c>
      <c r="D92" t="s">
        <v>28</v>
      </c>
      <c r="E92">
        <v>82116.19</v>
      </c>
      <c r="F92">
        <v>5988</v>
      </c>
      <c r="G92">
        <v>0.04</v>
      </c>
      <c r="H92">
        <v>17</v>
      </c>
      <c r="I92">
        <v>91.8</v>
      </c>
      <c r="J92">
        <v>5.75</v>
      </c>
      <c r="K92">
        <v>0</v>
      </c>
      <c r="L92">
        <v>4.7</v>
      </c>
      <c r="M92">
        <v>739852.58</v>
      </c>
      <c r="N92">
        <v>129386.43</v>
      </c>
      <c r="O92">
        <f t="shared" si="6"/>
        <v>0</v>
      </c>
      <c r="P92">
        <f t="shared" si="7"/>
        <v>1</v>
      </c>
      <c r="Q92">
        <f t="shared" si="8"/>
        <v>0</v>
      </c>
      <c r="R92">
        <f t="shared" si="9"/>
        <v>0</v>
      </c>
      <c r="S92">
        <f t="shared" si="10"/>
        <v>0</v>
      </c>
      <c r="T92">
        <f t="shared" si="11"/>
        <v>1</v>
      </c>
    </row>
    <row r="93" spans="1:20">
      <c r="A93" t="s">
        <v>44</v>
      </c>
      <c r="B93" s="2">
        <v>45748</v>
      </c>
      <c r="C93" t="s">
        <v>24</v>
      </c>
      <c r="D93" t="s">
        <v>28</v>
      </c>
      <c r="E93">
        <v>31207.51</v>
      </c>
      <c r="F93">
        <v>3701</v>
      </c>
      <c r="G93">
        <v>4.2999999999999997E-2</v>
      </c>
      <c r="H93">
        <v>11</v>
      </c>
      <c r="I93">
        <v>84.7</v>
      </c>
      <c r="J93">
        <v>0.33</v>
      </c>
      <c r="K93">
        <v>0</v>
      </c>
      <c r="L93">
        <v>4.3</v>
      </c>
      <c r="M93">
        <v>586307.22</v>
      </c>
      <c r="N93">
        <v>73927.850000000006</v>
      </c>
      <c r="O93">
        <f t="shared" si="6"/>
        <v>0</v>
      </c>
      <c r="P93">
        <f t="shared" si="7"/>
        <v>1</v>
      </c>
      <c r="Q93">
        <f t="shared" si="8"/>
        <v>0</v>
      </c>
      <c r="R93">
        <f t="shared" si="9"/>
        <v>0</v>
      </c>
      <c r="S93">
        <f t="shared" si="10"/>
        <v>0</v>
      </c>
      <c r="T93">
        <f t="shared" si="11"/>
        <v>1</v>
      </c>
    </row>
    <row r="94" spans="1:20">
      <c r="A94" t="s">
        <v>45</v>
      </c>
      <c r="B94" s="2">
        <v>45658</v>
      </c>
      <c r="C94" t="s">
        <v>27</v>
      </c>
      <c r="D94" t="s">
        <v>16</v>
      </c>
      <c r="E94">
        <v>38966.589999999997</v>
      </c>
      <c r="F94">
        <v>4509</v>
      </c>
      <c r="G94">
        <v>0.19400000000000001</v>
      </c>
      <c r="H94">
        <v>14</v>
      </c>
      <c r="I94">
        <v>91.1</v>
      </c>
      <c r="J94">
        <v>2.92</v>
      </c>
      <c r="K94">
        <v>0</v>
      </c>
      <c r="L94">
        <v>4.5999999999999996</v>
      </c>
      <c r="M94">
        <v>585937.48</v>
      </c>
      <c r="N94">
        <v>82624.2</v>
      </c>
      <c r="O94">
        <f t="shared" si="6"/>
        <v>0</v>
      </c>
      <c r="P94">
        <f t="shared" si="7"/>
        <v>0</v>
      </c>
      <c r="Q94">
        <f t="shared" si="8"/>
        <v>1</v>
      </c>
      <c r="R94">
        <f t="shared" si="9"/>
        <v>0</v>
      </c>
      <c r="S94">
        <f t="shared" si="10"/>
        <v>0</v>
      </c>
      <c r="T94">
        <f t="shared" si="11"/>
        <v>0</v>
      </c>
    </row>
    <row r="95" spans="1:20">
      <c r="A95" t="s">
        <v>45</v>
      </c>
      <c r="B95" s="2">
        <v>45689</v>
      </c>
      <c r="C95" t="s">
        <v>27</v>
      </c>
      <c r="D95" t="s">
        <v>16</v>
      </c>
      <c r="E95">
        <v>67439.3</v>
      </c>
      <c r="F95">
        <v>6477</v>
      </c>
      <c r="G95">
        <v>0</v>
      </c>
      <c r="H95">
        <v>16</v>
      </c>
      <c r="I95">
        <v>90.9</v>
      </c>
      <c r="J95">
        <v>1.64</v>
      </c>
      <c r="K95">
        <v>0</v>
      </c>
      <c r="L95">
        <v>4.5</v>
      </c>
      <c r="M95">
        <v>753473.55</v>
      </c>
      <c r="N95">
        <v>151527.22</v>
      </c>
      <c r="O95">
        <f t="shared" si="6"/>
        <v>0</v>
      </c>
      <c r="P95">
        <f t="shared" si="7"/>
        <v>0</v>
      </c>
      <c r="Q95">
        <f t="shared" si="8"/>
        <v>1</v>
      </c>
      <c r="R95">
        <f t="shared" si="9"/>
        <v>0</v>
      </c>
      <c r="S95">
        <f t="shared" si="10"/>
        <v>0</v>
      </c>
      <c r="T95">
        <f t="shared" si="11"/>
        <v>0</v>
      </c>
    </row>
    <row r="96" spans="1:20">
      <c r="A96" t="s">
        <v>45</v>
      </c>
      <c r="B96" s="2">
        <v>45717</v>
      </c>
      <c r="C96" t="s">
        <v>27</v>
      </c>
      <c r="D96" t="s">
        <v>16</v>
      </c>
      <c r="E96">
        <v>86421.88</v>
      </c>
      <c r="F96">
        <v>7970</v>
      </c>
      <c r="G96">
        <v>7.2999999999999995E-2</v>
      </c>
      <c r="H96">
        <v>17</v>
      </c>
      <c r="I96">
        <v>91.3</v>
      </c>
      <c r="J96">
        <v>0.8</v>
      </c>
      <c r="K96">
        <v>0</v>
      </c>
      <c r="L96">
        <v>5</v>
      </c>
      <c r="M96">
        <v>838250.32</v>
      </c>
      <c r="N96">
        <v>122939.34</v>
      </c>
      <c r="O96">
        <f t="shared" si="6"/>
        <v>0</v>
      </c>
      <c r="P96">
        <f t="shared" si="7"/>
        <v>0</v>
      </c>
      <c r="Q96">
        <f t="shared" si="8"/>
        <v>1</v>
      </c>
      <c r="R96">
        <f t="shared" si="9"/>
        <v>0</v>
      </c>
      <c r="S96">
        <f t="shared" si="10"/>
        <v>0</v>
      </c>
      <c r="T96">
        <f t="shared" si="11"/>
        <v>0</v>
      </c>
    </row>
    <row r="97" spans="1:20">
      <c r="A97" t="s">
        <v>45</v>
      </c>
      <c r="B97" s="2">
        <v>45748</v>
      </c>
      <c r="C97" t="s">
        <v>27</v>
      </c>
      <c r="D97" t="s">
        <v>16</v>
      </c>
      <c r="E97">
        <v>9534.65</v>
      </c>
      <c r="F97">
        <v>6057</v>
      </c>
      <c r="G97">
        <v>7.3999999999999996E-2</v>
      </c>
      <c r="H97">
        <v>15</v>
      </c>
      <c r="I97">
        <v>94.1</v>
      </c>
      <c r="J97">
        <v>5.79</v>
      </c>
      <c r="K97">
        <v>0</v>
      </c>
      <c r="L97">
        <v>4.5</v>
      </c>
      <c r="M97">
        <v>607898.12</v>
      </c>
      <c r="N97">
        <v>135404.85</v>
      </c>
      <c r="O97">
        <f t="shared" si="6"/>
        <v>0</v>
      </c>
      <c r="P97">
        <f t="shared" si="7"/>
        <v>0</v>
      </c>
      <c r="Q97">
        <f t="shared" si="8"/>
        <v>1</v>
      </c>
      <c r="R97">
        <f t="shared" si="9"/>
        <v>0</v>
      </c>
      <c r="S97">
        <f t="shared" si="10"/>
        <v>0</v>
      </c>
      <c r="T97">
        <f t="shared" si="11"/>
        <v>0</v>
      </c>
    </row>
    <row r="98" spans="1:20">
      <c r="A98" t="s">
        <v>46</v>
      </c>
      <c r="B98" s="2">
        <v>45658</v>
      </c>
      <c r="C98" t="s">
        <v>27</v>
      </c>
      <c r="D98" t="s">
        <v>28</v>
      </c>
      <c r="E98">
        <v>61132.07</v>
      </c>
      <c r="F98">
        <v>6394</v>
      </c>
      <c r="G98">
        <v>0.16300000000000001</v>
      </c>
      <c r="H98">
        <v>19</v>
      </c>
      <c r="I98">
        <v>91</v>
      </c>
      <c r="J98">
        <v>19.600000000000001</v>
      </c>
      <c r="K98">
        <v>0</v>
      </c>
      <c r="L98">
        <v>4.4000000000000004</v>
      </c>
      <c r="M98">
        <v>691113.62</v>
      </c>
      <c r="N98">
        <v>135145.44</v>
      </c>
      <c r="O98">
        <f t="shared" si="6"/>
        <v>0</v>
      </c>
      <c r="P98">
        <f t="shared" si="7"/>
        <v>0</v>
      </c>
      <c r="Q98">
        <f t="shared" si="8"/>
        <v>1</v>
      </c>
      <c r="R98">
        <f t="shared" si="9"/>
        <v>0</v>
      </c>
      <c r="S98">
        <f t="shared" si="10"/>
        <v>0</v>
      </c>
      <c r="T98">
        <f t="shared" si="11"/>
        <v>1</v>
      </c>
    </row>
    <row r="99" spans="1:20">
      <c r="A99" t="s">
        <v>46</v>
      </c>
      <c r="B99" s="2">
        <v>45689</v>
      </c>
      <c r="C99" t="s">
        <v>27</v>
      </c>
      <c r="D99" t="s">
        <v>28</v>
      </c>
      <c r="E99">
        <v>78839.39</v>
      </c>
      <c r="F99">
        <v>5150</v>
      </c>
      <c r="G99">
        <v>0.17100000000000001</v>
      </c>
      <c r="H99">
        <v>13</v>
      </c>
      <c r="I99">
        <v>85.8</v>
      </c>
      <c r="J99">
        <v>7.57</v>
      </c>
      <c r="K99">
        <v>0</v>
      </c>
      <c r="L99">
        <v>4.3</v>
      </c>
      <c r="M99">
        <v>735509.4</v>
      </c>
      <c r="N99">
        <v>83895.96</v>
      </c>
      <c r="O99">
        <f t="shared" si="6"/>
        <v>0</v>
      </c>
      <c r="P99">
        <f t="shared" si="7"/>
        <v>0</v>
      </c>
      <c r="Q99">
        <f t="shared" si="8"/>
        <v>1</v>
      </c>
      <c r="R99">
        <f t="shared" si="9"/>
        <v>0</v>
      </c>
      <c r="S99">
        <f t="shared" si="10"/>
        <v>0</v>
      </c>
      <c r="T99">
        <f t="shared" si="11"/>
        <v>1</v>
      </c>
    </row>
    <row r="100" spans="1:20">
      <c r="A100" t="s">
        <v>46</v>
      </c>
      <c r="B100" s="2">
        <v>45717</v>
      </c>
      <c r="C100" t="s">
        <v>27</v>
      </c>
      <c r="D100" t="s">
        <v>28</v>
      </c>
      <c r="E100">
        <v>38752.800000000003</v>
      </c>
      <c r="F100">
        <v>4712</v>
      </c>
      <c r="G100">
        <v>7.4999999999999997E-2</v>
      </c>
      <c r="H100">
        <v>15</v>
      </c>
      <c r="I100">
        <v>89.7</v>
      </c>
      <c r="J100">
        <v>4.5590445859872624</v>
      </c>
      <c r="K100">
        <v>0</v>
      </c>
      <c r="L100">
        <v>4.3</v>
      </c>
      <c r="M100">
        <v>605775.32999999996</v>
      </c>
      <c r="N100">
        <v>107194.6</v>
      </c>
      <c r="O100">
        <f t="shared" si="6"/>
        <v>0</v>
      </c>
      <c r="P100">
        <f t="shared" si="7"/>
        <v>0</v>
      </c>
      <c r="Q100">
        <f t="shared" si="8"/>
        <v>1</v>
      </c>
      <c r="R100">
        <f t="shared" si="9"/>
        <v>0</v>
      </c>
      <c r="S100">
        <f t="shared" si="10"/>
        <v>0</v>
      </c>
      <c r="T100">
        <f t="shared" si="11"/>
        <v>1</v>
      </c>
    </row>
    <row r="101" spans="1:20">
      <c r="A101" t="s">
        <v>46</v>
      </c>
      <c r="B101" s="2">
        <v>45748</v>
      </c>
      <c r="C101" t="s">
        <v>27</v>
      </c>
      <c r="D101" t="s">
        <v>28</v>
      </c>
      <c r="E101">
        <v>55101.1</v>
      </c>
      <c r="F101">
        <v>5281</v>
      </c>
      <c r="G101">
        <v>0.189</v>
      </c>
      <c r="H101">
        <v>11</v>
      </c>
      <c r="I101">
        <v>91</v>
      </c>
      <c r="J101">
        <v>2.7</v>
      </c>
      <c r="K101">
        <v>0</v>
      </c>
      <c r="L101">
        <v>4.4000000000000004</v>
      </c>
      <c r="M101">
        <v>675177.68</v>
      </c>
      <c r="N101">
        <v>105628.68</v>
      </c>
      <c r="O101">
        <f t="shared" si="6"/>
        <v>0</v>
      </c>
      <c r="P101">
        <f t="shared" si="7"/>
        <v>0</v>
      </c>
      <c r="Q101">
        <f t="shared" si="8"/>
        <v>1</v>
      </c>
      <c r="R101">
        <f t="shared" si="9"/>
        <v>0</v>
      </c>
      <c r="S101">
        <f t="shared" si="10"/>
        <v>0</v>
      </c>
      <c r="T101">
        <f t="shared" si="11"/>
        <v>1</v>
      </c>
    </row>
    <row r="102" spans="1:20">
      <c r="A102" t="s">
        <v>47</v>
      </c>
      <c r="B102" s="2">
        <v>45658</v>
      </c>
      <c r="C102" t="s">
        <v>15</v>
      </c>
      <c r="D102" t="s">
        <v>28</v>
      </c>
      <c r="E102">
        <v>53084.76</v>
      </c>
      <c r="F102">
        <v>3642</v>
      </c>
      <c r="G102">
        <v>0.15</v>
      </c>
      <c r="H102">
        <v>12</v>
      </c>
      <c r="I102">
        <v>91.4</v>
      </c>
      <c r="J102">
        <v>0.2</v>
      </c>
      <c r="K102">
        <v>0</v>
      </c>
      <c r="L102">
        <v>4.4000000000000004</v>
      </c>
      <c r="M102">
        <v>635181.35</v>
      </c>
      <c r="N102">
        <v>83341.25</v>
      </c>
      <c r="O102">
        <f t="shared" si="6"/>
        <v>0</v>
      </c>
      <c r="P102">
        <f t="shared" si="7"/>
        <v>0</v>
      </c>
      <c r="Q102">
        <f t="shared" si="8"/>
        <v>0</v>
      </c>
      <c r="R102">
        <f t="shared" si="9"/>
        <v>0</v>
      </c>
      <c r="S102">
        <f t="shared" si="10"/>
        <v>0</v>
      </c>
      <c r="T102">
        <f t="shared" si="11"/>
        <v>1</v>
      </c>
    </row>
    <row r="103" spans="1:20">
      <c r="A103" t="s">
        <v>47</v>
      </c>
      <c r="B103" s="2">
        <v>45689</v>
      </c>
      <c r="C103" t="s">
        <v>15</v>
      </c>
      <c r="D103" t="s">
        <v>28</v>
      </c>
      <c r="E103">
        <v>63101.59</v>
      </c>
      <c r="F103">
        <v>4373</v>
      </c>
      <c r="G103">
        <v>0.17299999999999999</v>
      </c>
      <c r="H103">
        <v>14</v>
      </c>
      <c r="I103">
        <v>90.4</v>
      </c>
      <c r="J103">
        <v>7.87</v>
      </c>
      <c r="K103">
        <v>0</v>
      </c>
      <c r="L103">
        <v>4.7</v>
      </c>
      <c r="M103">
        <v>586626.93999999994</v>
      </c>
      <c r="N103">
        <v>86498.55</v>
      </c>
      <c r="O103">
        <f t="shared" si="6"/>
        <v>0</v>
      </c>
      <c r="P103">
        <f t="shared" si="7"/>
        <v>0</v>
      </c>
      <c r="Q103">
        <f t="shared" si="8"/>
        <v>0</v>
      </c>
      <c r="R103">
        <f t="shared" si="9"/>
        <v>0</v>
      </c>
      <c r="S103">
        <f t="shared" si="10"/>
        <v>0</v>
      </c>
      <c r="T103">
        <f t="shared" si="11"/>
        <v>1</v>
      </c>
    </row>
    <row r="104" spans="1:20">
      <c r="A104" t="s">
        <v>47</v>
      </c>
      <c r="B104" s="2">
        <v>45717</v>
      </c>
      <c r="C104" t="s">
        <v>15</v>
      </c>
      <c r="D104" t="s">
        <v>28</v>
      </c>
      <c r="E104">
        <v>90084.4</v>
      </c>
      <c r="F104">
        <v>6832</v>
      </c>
      <c r="G104">
        <v>0.185</v>
      </c>
      <c r="H104">
        <v>14</v>
      </c>
      <c r="I104">
        <v>80.5</v>
      </c>
      <c r="J104">
        <v>0.77</v>
      </c>
      <c r="K104">
        <v>1</v>
      </c>
      <c r="L104">
        <v>4.4000000000000004</v>
      </c>
      <c r="M104">
        <v>740102.64</v>
      </c>
      <c r="N104">
        <v>114299.07</v>
      </c>
      <c r="O104">
        <f t="shared" si="6"/>
        <v>0</v>
      </c>
      <c r="P104">
        <f t="shared" si="7"/>
        <v>0</v>
      </c>
      <c r="Q104">
        <f t="shared" si="8"/>
        <v>0</v>
      </c>
      <c r="R104">
        <f t="shared" si="9"/>
        <v>0</v>
      </c>
      <c r="S104">
        <f t="shared" si="10"/>
        <v>0</v>
      </c>
      <c r="T104">
        <f t="shared" si="11"/>
        <v>1</v>
      </c>
    </row>
    <row r="105" spans="1:20">
      <c r="A105" t="s">
        <v>47</v>
      </c>
      <c r="B105" s="2">
        <v>45748</v>
      </c>
      <c r="C105" t="s">
        <v>15</v>
      </c>
      <c r="D105" t="s">
        <v>28</v>
      </c>
      <c r="E105">
        <v>32266.639999999999</v>
      </c>
      <c r="F105">
        <v>2414</v>
      </c>
      <c r="G105">
        <v>0.08</v>
      </c>
      <c r="H105">
        <v>7</v>
      </c>
      <c r="I105">
        <v>92.1</v>
      </c>
      <c r="J105">
        <v>1.48</v>
      </c>
      <c r="K105">
        <v>0</v>
      </c>
      <c r="L105">
        <v>5</v>
      </c>
      <c r="M105">
        <v>625514.04</v>
      </c>
      <c r="N105">
        <v>120685.08</v>
      </c>
      <c r="O105">
        <f t="shared" si="6"/>
        <v>0</v>
      </c>
      <c r="P105">
        <f t="shared" si="7"/>
        <v>0</v>
      </c>
      <c r="Q105">
        <f t="shared" si="8"/>
        <v>0</v>
      </c>
      <c r="R105">
        <f t="shared" si="9"/>
        <v>0</v>
      </c>
      <c r="S105">
        <f t="shared" si="10"/>
        <v>0</v>
      </c>
      <c r="T105">
        <f t="shared" si="11"/>
        <v>1</v>
      </c>
    </row>
    <row r="106" spans="1:20">
      <c r="A106" t="s">
        <v>48</v>
      </c>
      <c r="B106" s="2">
        <v>45658</v>
      </c>
      <c r="C106" t="s">
        <v>27</v>
      </c>
      <c r="D106" t="s">
        <v>18</v>
      </c>
      <c r="E106">
        <v>57919.07</v>
      </c>
      <c r="F106">
        <v>7374</v>
      </c>
      <c r="G106">
        <v>0.10299999999999999</v>
      </c>
      <c r="H106">
        <v>21</v>
      </c>
      <c r="I106">
        <v>82.3</v>
      </c>
      <c r="J106">
        <v>2.87</v>
      </c>
      <c r="K106">
        <v>0</v>
      </c>
      <c r="L106">
        <v>2.9</v>
      </c>
      <c r="M106">
        <v>727227.2</v>
      </c>
      <c r="N106">
        <v>121292.01</v>
      </c>
      <c r="O106">
        <f t="shared" si="6"/>
        <v>0</v>
      </c>
      <c r="P106">
        <f t="shared" si="7"/>
        <v>0</v>
      </c>
      <c r="Q106">
        <f t="shared" si="8"/>
        <v>1</v>
      </c>
      <c r="R106">
        <f t="shared" si="9"/>
        <v>0</v>
      </c>
      <c r="S106">
        <f t="shared" si="10"/>
        <v>1</v>
      </c>
      <c r="T106">
        <f t="shared" si="11"/>
        <v>0</v>
      </c>
    </row>
    <row r="107" spans="1:20">
      <c r="A107" t="s">
        <v>48</v>
      </c>
      <c r="B107" s="2">
        <v>45689</v>
      </c>
      <c r="C107" t="s">
        <v>27</v>
      </c>
      <c r="D107" t="s">
        <v>18</v>
      </c>
      <c r="E107">
        <v>74679.350000000006</v>
      </c>
      <c r="F107">
        <v>8739</v>
      </c>
      <c r="G107">
        <v>5.6000000000000001E-2</v>
      </c>
      <c r="H107">
        <v>21</v>
      </c>
      <c r="I107">
        <v>91.8</v>
      </c>
      <c r="J107">
        <v>2.83</v>
      </c>
      <c r="K107">
        <v>0</v>
      </c>
      <c r="L107">
        <v>3</v>
      </c>
      <c r="M107">
        <v>783797.89</v>
      </c>
      <c r="N107">
        <v>157620.70000000001</v>
      </c>
      <c r="O107">
        <f t="shared" si="6"/>
        <v>0</v>
      </c>
      <c r="P107">
        <f t="shared" si="7"/>
        <v>0</v>
      </c>
      <c r="Q107">
        <f t="shared" si="8"/>
        <v>1</v>
      </c>
      <c r="R107">
        <f t="shared" si="9"/>
        <v>0</v>
      </c>
      <c r="S107">
        <f t="shared" si="10"/>
        <v>1</v>
      </c>
      <c r="T107">
        <f t="shared" si="11"/>
        <v>0</v>
      </c>
    </row>
    <row r="108" spans="1:20">
      <c r="A108" t="s">
        <v>48</v>
      </c>
      <c r="B108" s="2">
        <v>45717</v>
      </c>
      <c r="C108" t="s">
        <v>27</v>
      </c>
      <c r="D108" t="s">
        <v>18</v>
      </c>
      <c r="E108">
        <v>64294.23</v>
      </c>
      <c r="F108">
        <v>6992</v>
      </c>
      <c r="G108">
        <v>0.13300000000000001</v>
      </c>
      <c r="H108">
        <v>14</v>
      </c>
      <c r="I108">
        <v>94.1</v>
      </c>
      <c r="J108">
        <v>0.25</v>
      </c>
      <c r="K108">
        <v>0</v>
      </c>
      <c r="L108">
        <v>3</v>
      </c>
      <c r="M108">
        <v>795153.84</v>
      </c>
      <c r="N108">
        <v>143194.21</v>
      </c>
      <c r="O108">
        <f t="shared" si="6"/>
        <v>0</v>
      </c>
      <c r="P108">
        <f t="shared" si="7"/>
        <v>0</v>
      </c>
      <c r="Q108">
        <f t="shared" si="8"/>
        <v>1</v>
      </c>
      <c r="R108">
        <f t="shared" si="9"/>
        <v>0</v>
      </c>
      <c r="S108">
        <f t="shared" si="10"/>
        <v>1</v>
      </c>
      <c r="T108">
        <f t="shared" si="11"/>
        <v>0</v>
      </c>
    </row>
    <row r="109" spans="1:20">
      <c r="A109" t="s">
        <v>48</v>
      </c>
      <c r="B109" s="2">
        <v>45748</v>
      </c>
      <c r="C109" t="s">
        <v>27</v>
      </c>
      <c r="D109" t="s">
        <v>18</v>
      </c>
      <c r="E109">
        <v>31042.03</v>
      </c>
      <c r="F109">
        <v>7107</v>
      </c>
      <c r="G109">
        <v>5.0999999999999997E-2</v>
      </c>
      <c r="H109">
        <v>15</v>
      </c>
      <c r="I109">
        <v>87</v>
      </c>
      <c r="J109">
        <v>13.33</v>
      </c>
      <c r="K109">
        <v>0</v>
      </c>
      <c r="L109">
        <v>3.2</v>
      </c>
      <c r="M109">
        <v>665594.93999999994</v>
      </c>
      <c r="N109">
        <v>127597.34</v>
      </c>
      <c r="O109">
        <f t="shared" si="6"/>
        <v>0</v>
      </c>
      <c r="P109">
        <f t="shared" si="7"/>
        <v>0</v>
      </c>
      <c r="Q109">
        <f t="shared" si="8"/>
        <v>1</v>
      </c>
      <c r="R109">
        <f t="shared" si="9"/>
        <v>0</v>
      </c>
      <c r="S109">
        <f t="shared" si="10"/>
        <v>1</v>
      </c>
      <c r="T109">
        <f t="shared" si="11"/>
        <v>0</v>
      </c>
    </row>
    <row r="110" spans="1:20">
      <c r="A110" t="s">
        <v>49</v>
      </c>
      <c r="B110" s="2">
        <v>45658</v>
      </c>
      <c r="C110" t="s">
        <v>15</v>
      </c>
      <c r="D110" t="s">
        <v>28</v>
      </c>
      <c r="E110">
        <v>75265.02</v>
      </c>
      <c r="F110">
        <v>6975</v>
      </c>
      <c r="G110">
        <v>0.157</v>
      </c>
      <c r="H110">
        <v>20</v>
      </c>
      <c r="I110">
        <v>73.8</v>
      </c>
      <c r="J110">
        <v>6.35</v>
      </c>
      <c r="K110">
        <v>1</v>
      </c>
      <c r="L110">
        <v>3.8</v>
      </c>
      <c r="M110">
        <v>709478.39</v>
      </c>
      <c r="N110">
        <v>71294.27</v>
      </c>
      <c r="O110">
        <f t="shared" si="6"/>
        <v>0</v>
      </c>
      <c r="P110">
        <f t="shared" si="7"/>
        <v>0</v>
      </c>
      <c r="Q110">
        <f t="shared" si="8"/>
        <v>0</v>
      </c>
      <c r="R110">
        <f t="shared" si="9"/>
        <v>0</v>
      </c>
      <c r="S110">
        <f t="shared" si="10"/>
        <v>0</v>
      </c>
      <c r="T110">
        <f t="shared" si="11"/>
        <v>1</v>
      </c>
    </row>
    <row r="111" spans="1:20">
      <c r="A111" t="s">
        <v>49</v>
      </c>
      <c r="B111" s="2">
        <v>45689</v>
      </c>
      <c r="C111" t="s">
        <v>15</v>
      </c>
      <c r="D111" t="s">
        <v>28</v>
      </c>
      <c r="E111">
        <v>69411.7</v>
      </c>
      <c r="F111">
        <v>5493</v>
      </c>
      <c r="G111">
        <v>0.29199999999999998</v>
      </c>
      <c r="H111">
        <v>13</v>
      </c>
      <c r="I111">
        <v>86.5</v>
      </c>
      <c r="J111">
        <v>6.69</v>
      </c>
      <c r="K111">
        <v>0</v>
      </c>
      <c r="L111">
        <v>3.8</v>
      </c>
      <c r="M111">
        <v>664162.49</v>
      </c>
      <c r="N111">
        <v>98291.06</v>
      </c>
      <c r="O111">
        <f t="shared" si="6"/>
        <v>0</v>
      </c>
      <c r="P111">
        <f t="shared" si="7"/>
        <v>0</v>
      </c>
      <c r="Q111">
        <f t="shared" si="8"/>
        <v>0</v>
      </c>
      <c r="R111">
        <f t="shared" si="9"/>
        <v>0</v>
      </c>
      <c r="S111">
        <f t="shared" si="10"/>
        <v>0</v>
      </c>
      <c r="T111">
        <f t="shared" si="11"/>
        <v>1</v>
      </c>
    </row>
    <row r="112" spans="1:20">
      <c r="A112" t="s">
        <v>49</v>
      </c>
      <c r="B112" s="2">
        <v>45717</v>
      </c>
      <c r="C112" t="s">
        <v>15</v>
      </c>
      <c r="D112" t="s">
        <v>28</v>
      </c>
      <c r="E112">
        <v>51056.15</v>
      </c>
      <c r="F112">
        <v>5686</v>
      </c>
      <c r="G112">
        <v>8.8999999999999996E-2</v>
      </c>
      <c r="H112">
        <v>13</v>
      </c>
      <c r="I112">
        <v>89.9</v>
      </c>
      <c r="J112">
        <v>1.28</v>
      </c>
      <c r="K112">
        <v>0</v>
      </c>
      <c r="L112">
        <v>4.2</v>
      </c>
      <c r="M112">
        <v>633494.21</v>
      </c>
      <c r="N112">
        <v>105739.47</v>
      </c>
      <c r="O112">
        <f t="shared" si="6"/>
        <v>0</v>
      </c>
      <c r="P112">
        <f t="shared" si="7"/>
        <v>0</v>
      </c>
      <c r="Q112">
        <f t="shared" si="8"/>
        <v>0</v>
      </c>
      <c r="R112">
        <f t="shared" si="9"/>
        <v>0</v>
      </c>
      <c r="S112">
        <f t="shared" si="10"/>
        <v>0</v>
      </c>
      <c r="T112">
        <f t="shared" si="11"/>
        <v>1</v>
      </c>
    </row>
    <row r="113" spans="1:20">
      <c r="A113" t="s">
        <v>49</v>
      </c>
      <c r="B113" s="2">
        <v>45748</v>
      </c>
      <c r="C113" t="s">
        <v>15</v>
      </c>
      <c r="D113" t="s">
        <v>28</v>
      </c>
      <c r="E113">
        <v>52758.01</v>
      </c>
      <c r="F113">
        <v>4063</v>
      </c>
      <c r="G113">
        <v>5.7000000000000002E-2</v>
      </c>
      <c r="H113">
        <v>12</v>
      </c>
      <c r="I113">
        <v>91.7</v>
      </c>
      <c r="J113">
        <v>0.92</v>
      </c>
      <c r="K113">
        <v>0</v>
      </c>
      <c r="L113">
        <v>3.5</v>
      </c>
      <c r="M113">
        <v>713611.16</v>
      </c>
      <c r="N113">
        <v>129717.18</v>
      </c>
      <c r="O113">
        <f t="shared" si="6"/>
        <v>0</v>
      </c>
      <c r="P113">
        <f t="shared" si="7"/>
        <v>0</v>
      </c>
      <c r="Q113">
        <f t="shared" si="8"/>
        <v>0</v>
      </c>
      <c r="R113">
        <f t="shared" si="9"/>
        <v>0</v>
      </c>
      <c r="S113">
        <f t="shared" si="10"/>
        <v>0</v>
      </c>
      <c r="T113">
        <f t="shared" si="11"/>
        <v>1</v>
      </c>
    </row>
    <row r="114" spans="1:20">
      <c r="A114" t="s">
        <v>50</v>
      </c>
      <c r="B114" s="2">
        <v>45658</v>
      </c>
      <c r="C114" t="s">
        <v>27</v>
      </c>
      <c r="D114" t="s">
        <v>28</v>
      </c>
      <c r="E114">
        <v>61426.04</v>
      </c>
      <c r="F114">
        <v>8966</v>
      </c>
      <c r="G114">
        <v>0.17299999999999999</v>
      </c>
      <c r="H114">
        <v>22</v>
      </c>
      <c r="I114">
        <v>76.400000000000006</v>
      </c>
      <c r="J114">
        <v>1.05</v>
      </c>
      <c r="K114">
        <v>0</v>
      </c>
      <c r="L114">
        <v>3.1</v>
      </c>
      <c r="M114">
        <v>778397.97</v>
      </c>
      <c r="N114">
        <v>120044.41</v>
      </c>
      <c r="O114">
        <f t="shared" si="6"/>
        <v>0</v>
      </c>
      <c r="P114">
        <f t="shared" si="7"/>
        <v>0</v>
      </c>
      <c r="Q114">
        <f t="shared" si="8"/>
        <v>1</v>
      </c>
      <c r="R114">
        <f t="shared" si="9"/>
        <v>0</v>
      </c>
      <c r="S114">
        <f t="shared" si="10"/>
        <v>0</v>
      </c>
      <c r="T114">
        <f t="shared" si="11"/>
        <v>1</v>
      </c>
    </row>
    <row r="115" spans="1:20">
      <c r="A115" t="s">
        <v>50</v>
      </c>
      <c r="B115" s="2">
        <v>45689</v>
      </c>
      <c r="C115" t="s">
        <v>27</v>
      </c>
      <c r="D115" t="s">
        <v>28</v>
      </c>
      <c r="E115">
        <v>80176.34</v>
      </c>
      <c r="F115">
        <v>9489</v>
      </c>
      <c r="G115">
        <v>0.14199999999999999</v>
      </c>
      <c r="H115">
        <v>22</v>
      </c>
      <c r="I115">
        <v>94.3</v>
      </c>
      <c r="J115">
        <v>2.67</v>
      </c>
      <c r="K115">
        <v>0</v>
      </c>
      <c r="L115">
        <v>3.5</v>
      </c>
      <c r="M115">
        <v>873380.02</v>
      </c>
      <c r="N115">
        <v>149734.76</v>
      </c>
      <c r="O115">
        <f t="shared" si="6"/>
        <v>0</v>
      </c>
      <c r="P115">
        <f t="shared" si="7"/>
        <v>0</v>
      </c>
      <c r="Q115">
        <f t="shared" si="8"/>
        <v>1</v>
      </c>
      <c r="R115">
        <f t="shared" si="9"/>
        <v>0</v>
      </c>
      <c r="S115">
        <f t="shared" si="10"/>
        <v>0</v>
      </c>
      <c r="T115">
        <f t="shared" si="11"/>
        <v>1</v>
      </c>
    </row>
    <row r="116" spans="1:20">
      <c r="A116" t="s">
        <v>50</v>
      </c>
      <c r="B116" s="2">
        <v>45717</v>
      </c>
      <c r="C116" t="s">
        <v>27</v>
      </c>
      <c r="D116" t="s">
        <v>28</v>
      </c>
      <c r="E116">
        <v>33605.18</v>
      </c>
      <c r="F116">
        <v>9225</v>
      </c>
      <c r="G116">
        <v>0.159</v>
      </c>
      <c r="H116">
        <v>23</v>
      </c>
      <c r="I116">
        <v>88.4</v>
      </c>
      <c r="J116">
        <v>5.91</v>
      </c>
      <c r="K116">
        <v>0</v>
      </c>
      <c r="L116">
        <v>2.8</v>
      </c>
      <c r="M116">
        <v>697287.9</v>
      </c>
      <c r="N116">
        <v>128208.33</v>
      </c>
      <c r="O116">
        <f t="shared" si="6"/>
        <v>0</v>
      </c>
      <c r="P116">
        <f t="shared" si="7"/>
        <v>0</v>
      </c>
      <c r="Q116">
        <f t="shared" si="8"/>
        <v>1</v>
      </c>
      <c r="R116">
        <f t="shared" si="9"/>
        <v>0</v>
      </c>
      <c r="S116">
        <f t="shared" si="10"/>
        <v>0</v>
      </c>
      <c r="T116">
        <f t="shared" si="11"/>
        <v>1</v>
      </c>
    </row>
    <row r="117" spans="1:20">
      <c r="A117" t="s">
        <v>50</v>
      </c>
      <c r="B117" s="2">
        <v>45748</v>
      </c>
      <c r="C117" t="s">
        <v>27</v>
      </c>
      <c r="D117" t="s">
        <v>28</v>
      </c>
      <c r="E117">
        <v>25990.54</v>
      </c>
      <c r="F117">
        <v>9249</v>
      </c>
      <c r="G117">
        <v>0.13900000000000001</v>
      </c>
      <c r="H117">
        <v>23</v>
      </c>
      <c r="I117">
        <v>92.5</v>
      </c>
      <c r="J117">
        <v>6.37</v>
      </c>
      <c r="K117">
        <v>0</v>
      </c>
      <c r="L117">
        <v>3.3</v>
      </c>
      <c r="M117">
        <v>718074.79</v>
      </c>
      <c r="N117">
        <v>115819.87</v>
      </c>
      <c r="O117">
        <f t="shared" si="6"/>
        <v>0</v>
      </c>
      <c r="P117">
        <f t="shared" si="7"/>
        <v>0</v>
      </c>
      <c r="Q117">
        <f t="shared" si="8"/>
        <v>1</v>
      </c>
      <c r="R117">
        <f t="shared" si="9"/>
        <v>0</v>
      </c>
      <c r="S117">
        <f t="shared" si="10"/>
        <v>0</v>
      </c>
      <c r="T117">
        <f t="shared" si="11"/>
        <v>1</v>
      </c>
    </row>
    <row r="118" spans="1:20">
      <c r="A118" t="s">
        <v>51</v>
      </c>
      <c r="B118" s="2">
        <v>45658</v>
      </c>
      <c r="C118" t="s">
        <v>27</v>
      </c>
      <c r="D118" t="s">
        <v>16</v>
      </c>
      <c r="E118">
        <v>43685.14</v>
      </c>
      <c r="F118">
        <v>7821</v>
      </c>
      <c r="G118">
        <v>0.19</v>
      </c>
      <c r="H118">
        <v>17</v>
      </c>
      <c r="I118">
        <v>91</v>
      </c>
      <c r="J118">
        <v>2.4900000000000002</v>
      </c>
      <c r="K118">
        <v>1</v>
      </c>
      <c r="L118">
        <v>4.7</v>
      </c>
      <c r="M118">
        <v>714942.43</v>
      </c>
      <c r="N118">
        <v>94697.71</v>
      </c>
      <c r="O118">
        <f t="shared" si="6"/>
        <v>0</v>
      </c>
      <c r="P118">
        <f t="shared" si="7"/>
        <v>0</v>
      </c>
      <c r="Q118">
        <f t="shared" si="8"/>
        <v>1</v>
      </c>
      <c r="R118">
        <f t="shared" si="9"/>
        <v>0</v>
      </c>
      <c r="S118">
        <f t="shared" si="10"/>
        <v>0</v>
      </c>
      <c r="T118">
        <f t="shared" si="11"/>
        <v>0</v>
      </c>
    </row>
    <row r="119" spans="1:20">
      <c r="A119" t="s">
        <v>51</v>
      </c>
      <c r="B119" s="2">
        <v>45689</v>
      </c>
      <c r="C119" t="s">
        <v>27</v>
      </c>
      <c r="D119" t="s">
        <v>16</v>
      </c>
      <c r="E119">
        <v>57360.01</v>
      </c>
      <c r="F119">
        <v>8434</v>
      </c>
      <c r="G119">
        <v>0.151</v>
      </c>
      <c r="H119">
        <v>19</v>
      </c>
      <c r="I119">
        <v>84.1</v>
      </c>
      <c r="J119">
        <v>1.56</v>
      </c>
      <c r="K119">
        <v>0</v>
      </c>
      <c r="L119">
        <v>4.7</v>
      </c>
      <c r="M119">
        <v>820519.04</v>
      </c>
      <c r="N119">
        <v>99035.88</v>
      </c>
      <c r="O119">
        <f t="shared" si="6"/>
        <v>0</v>
      </c>
      <c r="P119">
        <f t="shared" si="7"/>
        <v>0</v>
      </c>
      <c r="Q119">
        <f t="shared" si="8"/>
        <v>1</v>
      </c>
      <c r="R119">
        <f t="shared" si="9"/>
        <v>0</v>
      </c>
      <c r="S119">
        <f t="shared" si="10"/>
        <v>0</v>
      </c>
      <c r="T119">
        <f t="shared" si="11"/>
        <v>0</v>
      </c>
    </row>
    <row r="120" spans="1:20">
      <c r="A120" t="s">
        <v>51</v>
      </c>
      <c r="B120" s="2">
        <v>45717</v>
      </c>
      <c r="C120" t="s">
        <v>27</v>
      </c>
      <c r="D120" t="s">
        <v>16</v>
      </c>
      <c r="E120">
        <v>42415.47</v>
      </c>
      <c r="F120">
        <v>8512</v>
      </c>
      <c r="G120">
        <v>0.13300000000000001</v>
      </c>
      <c r="H120">
        <v>18</v>
      </c>
      <c r="I120">
        <v>96.8</v>
      </c>
      <c r="J120">
        <v>14.95</v>
      </c>
      <c r="K120">
        <v>0</v>
      </c>
      <c r="L120">
        <v>4.5999999999999996</v>
      </c>
      <c r="M120">
        <v>684217.32</v>
      </c>
      <c r="N120">
        <v>136217.19</v>
      </c>
      <c r="O120">
        <f t="shared" si="6"/>
        <v>0</v>
      </c>
      <c r="P120">
        <f t="shared" si="7"/>
        <v>0</v>
      </c>
      <c r="Q120">
        <f t="shared" si="8"/>
        <v>1</v>
      </c>
      <c r="R120">
        <f t="shared" si="9"/>
        <v>0</v>
      </c>
      <c r="S120">
        <f t="shared" si="10"/>
        <v>0</v>
      </c>
      <c r="T120">
        <f t="shared" si="11"/>
        <v>0</v>
      </c>
    </row>
    <row r="121" spans="1:20">
      <c r="A121" t="s">
        <v>51</v>
      </c>
      <c r="B121" s="2">
        <v>45748</v>
      </c>
      <c r="C121" t="s">
        <v>27</v>
      </c>
      <c r="D121" t="s">
        <v>16</v>
      </c>
      <c r="E121">
        <v>54968.98</v>
      </c>
      <c r="F121">
        <v>7816</v>
      </c>
      <c r="G121">
        <v>0.23200000000000001</v>
      </c>
      <c r="H121">
        <v>19</v>
      </c>
      <c r="I121">
        <v>95.7</v>
      </c>
      <c r="J121">
        <v>7.85</v>
      </c>
      <c r="K121">
        <v>0</v>
      </c>
      <c r="L121">
        <v>4.7</v>
      </c>
      <c r="M121">
        <v>735480.19</v>
      </c>
      <c r="N121">
        <v>88342.11</v>
      </c>
      <c r="O121">
        <f t="shared" si="6"/>
        <v>0</v>
      </c>
      <c r="P121">
        <f t="shared" si="7"/>
        <v>0</v>
      </c>
      <c r="Q121">
        <f t="shared" si="8"/>
        <v>1</v>
      </c>
      <c r="R121">
        <f t="shared" si="9"/>
        <v>0</v>
      </c>
      <c r="S121">
        <f t="shared" si="10"/>
        <v>0</v>
      </c>
      <c r="T121">
        <f t="shared" si="11"/>
        <v>0</v>
      </c>
    </row>
    <row r="122" spans="1:20">
      <c r="A122" t="s">
        <v>52</v>
      </c>
      <c r="B122" s="2">
        <v>45658</v>
      </c>
      <c r="C122" t="s">
        <v>20</v>
      </c>
      <c r="D122" t="s">
        <v>18</v>
      </c>
      <c r="E122">
        <v>43896.13</v>
      </c>
      <c r="F122">
        <v>3853</v>
      </c>
      <c r="G122">
        <v>8.7999999999999995E-2</v>
      </c>
      <c r="H122">
        <v>13</v>
      </c>
      <c r="I122">
        <v>83</v>
      </c>
      <c r="J122">
        <v>6.8</v>
      </c>
      <c r="K122">
        <v>0</v>
      </c>
      <c r="L122">
        <v>4.4000000000000004</v>
      </c>
      <c r="M122">
        <v>509484.81</v>
      </c>
      <c r="N122">
        <v>85742.36</v>
      </c>
      <c r="O122">
        <f t="shared" si="6"/>
        <v>1</v>
      </c>
      <c r="P122">
        <f t="shared" si="7"/>
        <v>0</v>
      </c>
      <c r="Q122">
        <f t="shared" si="8"/>
        <v>0</v>
      </c>
      <c r="R122">
        <f t="shared" si="9"/>
        <v>0</v>
      </c>
      <c r="S122">
        <f t="shared" si="10"/>
        <v>1</v>
      </c>
      <c r="T122">
        <f t="shared" si="11"/>
        <v>0</v>
      </c>
    </row>
    <row r="123" spans="1:20">
      <c r="A123" t="s">
        <v>52</v>
      </c>
      <c r="B123" s="2">
        <v>45689</v>
      </c>
      <c r="C123" t="s">
        <v>20</v>
      </c>
      <c r="D123" t="s">
        <v>18</v>
      </c>
      <c r="E123">
        <v>83044.17</v>
      </c>
      <c r="F123">
        <v>3694</v>
      </c>
      <c r="G123">
        <v>0</v>
      </c>
      <c r="H123">
        <v>14</v>
      </c>
      <c r="I123">
        <v>89.4</v>
      </c>
      <c r="J123">
        <v>2.2000000000000002</v>
      </c>
      <c r="K123">
        <v>0</v>
      </c>
      <c r="L123">
        <v>3.7</v>
      </c>
      <c r="M123">
        <v>654317.09</v>
      </c>
      <c r="N123">
        <v>121446.89</v>
      </c>
      <c r="O123">
        <f t="shared" si="6"/>
        <v>1</v>
      </c>
      <c r="P123">
        <f t="shared" si="7"/>
        <v>0</v>
      </c>
      <c r="Q123">
        <f t="shared" si="8"/>
        <v>0</v>
      </c>
      <c r="R123">
        <f t="shared" si="9"/>
        <v>0</v>
      </c>
      <c r="S123">
        <f t="shared" si="10"/>
        <v>1</v>
      </c>
      <c r="T123">
        <f t="shared" si="11"/>
        <v>0</v>
      </c>
    </row>
    <row r="124" spans="1:20">
      <c r="A124" t="s">
        <v>52</v>
      </c>
      <c r="B124" s="2">
        <v>45717</v>
      </c>
      <c r="C124" t="s">
        <v>20</v>
      </c>
      <c r="D124" t="s">
        <v>18</v>
      </c>
      <c r="E124">
        <v>48396.13</v>
      </c>
      <c r="F124">
        <v>4423</v>
      </c>
      <c r="G124">
        <v>6.9000000000000006E-2</v>
      </c>
      <c r="H124">
        <v>15</v>
      </c>
      <c r="I124">
        <v>85.7</v>
      </c>
      <c r="J124">
        <v>1.88</v>
      </c>
      <c r="K124">
        <v>0</v>
      </c>
      <c r="L124">
        <v>3.9</v>
      </c>
      <c r="M124">
        <v>557487.26</v>
      </c>
      <c r="N124">
        <v>76432.19</v>
      </c>
      <c r="O124">
        <f t="shared" si="6"/>
        <v>1</v>
      </c>
      <c r="P124">
        <f t="shared" si="7"/>
        <v>0</v>
      </c>
      <c r="Q124">
        <f t="shared" si="8"/>
        <v>0</v>
      </c>
      <c r="R124">
        <f t="shared" si="9"/>
        <v>0</v>
      </c>
      <c r="S124">
        <f t="shared" si="10"/>
        <v>1</v>
      </c>
      <c r="T124">
        <f t="shared" si="11"/>
        <v>0</v>
      </c>
    </row>
    <row r="125" spans="1:20">
      <c r="A125" t="s">
        <v>52</v>
      </c>
      <c r="B125" s="2">
        <v>45748</v>
      </c>
      <c r="C125" t="s">
        <v>20</v>
      </c>
      <c r="D125" t="s">
        <v>18</v>
      </c>
      <c r="E125">
        <v>19063.48</v>
      </c>
      <c r="F125">
        <v>1906</v>
      </c>
      <c r="G125">
        <v>0.216</v>
      </c>
      <c r="H125">
        <v>10</v>
      </c>
      <c r="I125">
        <v>97.8</v>
      </c>
      <c r="J125">
        <v>15.79</v>
      </c>
      <c r="K125">
        <v>0</v>
      </c>
      <c r="L125">
        <v>4.4000000000000004</v>
      </c>
      <c r="M125">
        <v>441275.42</v>
      </c>
      <c r="N125">
        <v>58234.87</v>
      </c>
      <c r="O125">
        <f t="shared" si="6"/>
        <v>1</v>
      </c>
      <c r="P125">
        <f t="shared" si="7"/>
        <v>0</v>
      </c>
      <c r="Q125">
        <f t="shared" si="8"/>
        <v>0</v>
      </c>
      <c r="R125">
        <f t="shared" si="9"/>
        <v>0</v>
      </c>
      <c r="S125">
        <f t="shared" si="10"/>
        <v>1</v>
      </c>
      <c r="T125">
        <f t="shared" si="11"/>
        <v>0</v>
      </c>
    </row>
    <row r="126" spans="1:20">
      <c r="A126" t="s">
        <v>53</v>
      </c>
      <c r="B126" s="2">
        <v>45658</v>
      </c>
      <c r="C126" t="s">
        <v>24</v>
      </c>
      <c r="D126" t="s">
        <v>18</v>
      </c>
      <c r="E126">
        <v>61541.21</v>
      </c>
      <c r="F126">
        <v>10396</v>
      </c>
      <c r="G126">
        <v>0.123</v>
      </c>
      <c r="H126">
        <v>25</v>
      </c>
      <c r="I126">
        <v>88.1</v>
      </c>
      <c r="J126">
        <v>2.34</v>
      </c>
      <c r="K126">
        <v>1</v>
      </c>
      <c r="L126">
        <v>4.8</v>
      </c>
      <c r="M126">
        <v>914544.17</v>
      </c>
      <c r="N126">
        <v>79831.73</v>
      </c>
      <c r="O126">
        <f t="shared" si="6"/>
        <v>0</v>
      </c>
      <c r="P126">
        <f t="shared" si="7"/>
        <v>1</v>
      </c>
      <c r="Q126">
        <f t="shared" si="8"/>
        <v>0</v>
      </c>
      <c r="R126">
        <f t="shared" si="9"/>
        <v>0</v>
      </c>
      <c r="S126">
        <f t="shared" si="10"/>
        <v>1</v>
      </c>
      <c r="T126">
        <f t="shared" si="11"/>
        <v>0</v>
      </c>
    </row>
    <row r="127" spans="1:20">
      <c r="A127" t="s">
        <v>53</v>
      </c>
      <c r="B127" s="2">
        <v>45689</v>
      </c>
      <c r="C127" t="s">
        <v>24</v>
      </c>
      <c r="D127" t="s">
        <v>18</v>
      </c>
      <c r="E127">
        <v>44747</v>
      </c>
      <c r="F127">
        <v>11076</v>
      </c>
      <c r="G127">
        <v>0.17599999999999999</v>
      </c>
      <c r="H127">
        <v>27</v>
      </c>
      <c r="I127">
        <v>98.3</v>
      </c>
      <c r="J127">
        <v>0.54</v>
      </c>
      <c r="K127">
        <v>0</v>
      </c>
      <c r="L127">
        <v>4.4000000000000004</v>
      </c>
      <c r="M127">
        <v>842439.67</v>
      </c>
      <c r="N127">
        <v>169983.63</v>
      </c>
      <c r="O127">
        <f t="shared" si="6"/>
        <v>0</v>
      </c>
      <c r="P127">
        <f t="shared" si="7"/>
        <v>1</v>
      </c>
      <c r="Q127">
        <f t="shared" si="8"/>
        <v>0</v>
      </c>
      <c r="R127">
        <f t="shared" si="9"/>
        <v>0</v>
      </c>
      <c r="S127">
        <f t="shared" si="10"/>
        <v>1</v>
      </c>
      <c r="T127">
        <f t="shared" si="11"/>
        <v>0</v>
      </c>
    </row>
    <row r="128" spans="1:20">
      <c r="A128" t="s">
        <v>53</v>
      </c>
      <c r="B128" s="2">
        <v>45717</v>
      </c>
      <c r="C128" t="s">
        <v>24</v>
      </c>
      <c r="D128" t="s">
        <v>18</v>
      </c>
      <c r="E128">
        <v>56517.9</v>
      </c>
      <c r="F128">
        <v>9574</v>
      </c>
      <c r="G128">
        <v>0.20399999999999999</v>
      </c>
      <c r="H128">
        <v>20</v>
      </c>
      <c r="I128">
        <v>88.2</v>
      </c>
      <c r="J128">
        <v>5.37</v>
      </c>
      <c r="K128">
        <v>1</v>
      </c>
      <c r="L128">
        <v>4.9000000000000004</v>
      </c>
      <c r="M128">
        <v>842157.92</v>
      </c>
      <c r="N128">
        <v>107348.22</v>
      </c>
      <c r="O128">
        <f t="shared" si="6"/>
        <v>0</v>
      </c>
      <c r="P128">
        <f t="shared" si="7"/>
        <v>1</v>
      </c>
      <c r="Q128">
        <f t="shared" si="8"/>
        <v>0</v>
      </c>
      <c r="R128">
        <f t="shared" si="9"/>
        <v>0</v>
      </c>
      <c r="S128">
        <f t="shared" si="10"/>
        <v>1</v>
      </c>
      <c r="T128">
        <f t="shared" si="11"/>
        <v>0</v>
      </c>
    </row>
    <row r="129" spans="1:20">
      <c r="A129" t="s">
        <v>53</v>
      </c>
      <c r="B129" s="2">
        <v>45748</v>
      </c>
      <c r="C129" t="s">
        <v>24</v>
      </c>
      <c r="D129" t="s">
        <v>18</v>
      </c>
      <c r="E129">
        <v>37828.5</v>
      </c>
      <c r="F129">
        <v>8221</v>
      </c>
      <c r="G129">
        <v>9.6000000000000002E-2</v>
      </c>
      <c r="H129">
        <v>19</v>
      </c>
      <c r="I129">
        <v>81.5</v>
      </c>
      <c r="J129">
        <v>3.19</v>
      </c>
      <c r="K129">
        <v>0</v>
      </c>
      <c r="L129">
        <v>4.8</v>
      </c>
      <c r="M129">
        <v>697155.3</v>
      </c>
      <c r="N129">
        <v>136408.54</v>
      </c>
      <c r="O129">
        <f t="shared" si="6"/>
        <v>0</v>
      </c>
      <c r="P129">
        <f t="shared" si="7"/>
        <v>1</v>
      </c>
      <c r="Q129">
        <f t="shared" si="8"/>
        <v>0</v>
      </c>
      <c r="R129">
        <f t="shared" si="9"/>
        <v>0</v>
      </c>
      <c r="S129">
        <f t="shared" si="10"/>
        <v>1</v>
      </c>
      <c r="T129">
        <f t="shared" si="11"/>
        <v>0</v>
      </c>
    </row>
    <row r="130" spans="1:20">
      <c r="A130" t="s">
        <v>54</v>
      </c>
      <c r="B130" s="2">
        <v>45658</v>
      </c>
      <c r="C130" t="s">
        <v>15</v>
      </c>
      <c r="D130" t="s">
        <v>18</v>
      </c>
      <c r="E130">
        <v>66250.53</v>
      </c>
      <c r="F130">
        <v>10618</v>
      </c>
      <c r="G130">
        <v>0.14199999999999999</v>
      </c>
      <c r="H130">
        <v>27</v>
      </c>
      <c r="I130">
        <v>88.3</v>
      </c>
      <c r="J130">
        <v>1.1000000000000001</v>
      </c>
      <c r="K130">
        <v>1</v>
      </c>
      <c r="L130">
        <v>4.4000000000000004</v>
      </c>
      <c r="M130">
        <v>849018.3</v>
      </c>
      <c r="N130">
        <v>149035.13</v>
      </c>
      <c r="O130">
        <f t="shared" si="6"/>
        <v>0</v>
      </c>
      <c r="P130">
        <f t="shared" si="7"/>
        <v>0</v>
      </c>
      <c r="Q130">
        <f t="shared" si="8"/>
        <v>0</v>
      </c>
      <c r="R130">
        <f t="shared" si="9"/>
        <v>0</v>
      </c>
      <c r="S130">
        <f t="shared" si="10"/>
        <v>1</v>
      </c>
      <c r="T130">
        <f t="shared" si="11"/>
        <v>0</v>
      </c>
    </row>
    <row r="131" spans="1:20">
      <c r="A131" t="s">
        <v>54</v>
      </c>
      <c r="B131" s="2">
        <v>45689</v>
      </c>
      <c r="C131" t="s">
        <v>15</v>
      </c>
      <c r="D131" t="s">
        <v>18</v>
      </c>
      <c r="E131">
        <v>68410.929999999993</v>
      </c>
      <c r="F131">
        <v>10596</v>
      </c>
      <c r="G131">
        <v>0.20699999999999999</v>
      </c>
      <c r="H131">
        <v>25</v>
      </c>
      <c r="I131">
        <v>81.2</v>
      </c>
      <c r="J131">
        <v>0.21</v>
      </c>
      <c r="K131">
        <v>0</v>
      </c>
      <c r="L131">
        <v>4</v>
      </c>
      <c r="M131">
        <v>801830.35</v>
      </c>
      <c r="N131">
        <v>114875.32</v>
      </c>
      <c r="O131">
        <f t="shared" ref="O131:O194" si="12">IF(C131="North",1,0)</f>
        <v>0</v>
      </c>
      <c r="P131">
        <f t="shared" ref="P131:P194" si="13">IF(C131="South",1,0)</f>
        <v>0</v>
      </c>
      <c r="Q131">
        <f t="shared" ref="Q131:Q194" si="14">IF(C131="West",1,0)</f>
        <v>0</v>
      </c>
      <c r="R131">
        <f t="shared" ref="R131:R194" si="15">IF(D131="Airport",1,0)</f>
        <v>0</v>
      </c>
      <c r="S131">
        <f t="shared" ref="S131:S194" si="16">IF(D131="High Street",1,0)</f>
        <v>1</v>
      </c>
      <c r="T131">
        <f t="shared" ref="T131:T194" si="17">IF(D131="Mall",1,0)</f>
        <v>0</v>
      </c>
    </row>
    <row r="132" spans="1:20">
      <c r="A132" t="s">
        <v>54</v>
      </c>
      <c r="B132" s="2">
        <v>45717</v>
      </c>
      <c r="C132" t="s">
        <v>15</v>
      </c>
      <c r="D132" t="s">
        <v>18</v>
      </c>
      <c r="E132">
        <v>50735.63</v>
      </c>
      <c r="F132">
        <v>9619</v>
      </c>
      <c r="G132">
        <v>0.14399999999999999</v>
      </c>
      <c r="H132">
        <v>19</v>
      </c>
      <c r="I132">
        <v>93.8</v>
      </c>
      <c r="J132">
        <v>5.12</v>
      </c>
      <c r="K132">
        <v>1</v>
      </c>
      <c r="L132">
        <v>4.5</v>
      </c>
      <c r="M132">
        <v>725235.28</v>
      </c>
      <c r="N132">
        <v>121632.24</v>
      </c>
      <c r="O132">
        <f t="shared" si="12"/>
        <v>0</v>
      </c>
      <c r="P132">
        <f t="shared" si="13"/>
        <v>0</v>
      </c>
      <c r="Q132">
        <f t="shared" si="14"/>
        <v>0</v>
      </c>
      <c r="R132">
        <f t="shared" si="15"/>
        <v>0</v>
      </c>
      <c r="S132">
        <f t="shared" si="16"/>
        <v>1</v>
      </c>
      <c r="T132">
        <f t="shared" si="17"/>
        <v>0</v>
      </c>
    </row>
    <row r="133" spans="1:20">
      <c r="A133" t="s">
        <v>54</v>
      </c>
      <c r="B133" s="2">
        <v>45748</v>
      </c>
      <c r="C133" t="s">
        <v>15</v>
      </c>
      <c r="D133" t="s">
        <v>18</v>
      </c>
      <c r="E133">
        <v>66455.8</v>
      </c>
      <c r="F133">
        <v>10836</v>
      </c>
      <c r="G133">
        <v>8.8999999999999996E-2</v>
      </c>
      <c r="H133">
        <v>25</v>
      </c>
      <c r="I133">
        <v>85</v>
      </c>
      <c r="J133">
        <v>9.77</v>
      </c>
      <c r="K133">
        <v>0</v>
      </c>
      <c r="L133">
        <v>4.5</v>
      </c>
      <c r="M133">
        <v>811452.72</v>
      </c>
      <c r="N133">
        <v>131325.67000000001</v>
      </c>
      <c r="O133">
        <f t="shared" si="12"/>
        <v>0</v>
      </c>
      <c r="P133">
        <f t="shared" si="13"/>
        <v>0</v>
      </c>
      <c r="Q133">
        <f t="shared" si="14"/>
        <v>0</v>
      </c>
      <c r="R133">
        <f t="shared" si="15"/>
        <v>0</v>
      </c>
      <c r="S133">
        <f t="shared" si="16"/>
        <v>1</v>
      </c>
      <c r="T133">
        <f t="shared" si="17"/>
        <v>0</v>
      </c>
    </row>
    <row r="134" spans="1:20">
      <c r="A134" t="s">
        <v>55</v>
      </c>
      <c r="B134" s="2">
        <v>45658</v>
      </c>
      <c r="C134" t="s">
        <v>20</v>
      </c>
      <c r="D134" t="s">
        <v>18</v>
      </c>
      <c r="E134">
        <v>70276.28</v>
      </c>
      <c r="F134">
        <v>3043</v>
      </c>
      <c r="G134">
        <v>7.9000000000000001E-2</v>
      </c>
      <c r="H134">
        <v>9</v>
      </c>
      <c r="I134">
        <v>87.9</v>
      </c>
      <c r="J134">
        <v>3.77</v>
      </c>
      <c r="K134">
        <v>0</v>
      </c>
      <c r="L134">
        <v>4.4000000000000004</v>
      </c>
      <c r="M134">
        <v>527300.13</v>
      </c>
      <c r="N134">
        <v>84197.87</v>
      </c>
      <c r="O134">
        <f t="shared" si="12"/>
        <v>1</v>
      </c>
      <c r="P134">
        <f t="shared" si="13"/>
        <v>0</v>
      </c>
      <c r="Q134">
        <f t="shared" si="14"/>
        <v>0</v>
      </c>
      <c r="R134">
        <f t="shared" si="15"/>
        <v>0</v>
      </c>
      <c r="S134">
        <f t="shared" si="16"/>
        <v>1</v>
      </c>
      <c r="T134">
        <f t="shared" si="17"/>
        <v>0</v>
      </c>
    </row>
    <row r="135" spans="1:20">
      <c r="A135" t="s">
        <v>55</v>
      </c>
      <c r="B135" s="2">
        <v>45689</v>
      </c>
      <c r="C135" t="s">
        <v>20</v>
      </c>
      <c r="D135" t="s">
        <v>18</v>
      </c>
      <c r="E135">
        <v>22071.64</v>
      </c>
      <c r="F135">
        <v>1814</v>
      </c>
      <c r="G135">
        <v>0.19600000000000001</v>
      </c>
      <c r="H135">
        <v>8</v>
      </c>
      <c r="I135">
        <v>81.099999999999994</v>
      </c>
      <c r="J135">
        <v>0.78</v>
      </c>
      <c r="K135">
        <v>0</v>
      </c>
      <c r="L135">
        <v>3.9246794871794877</v>
      </c>
      <c r="M135">
        <v>400831.65</v>
      </c>
      <c r="N135">
        <v>70979.31</v>
      </c>
      <c r="O135">
        <f t="shared" si="12"/>
        <v>1</v>
      </c>
      <c r="P135">
        <f t="shared" si="13"/>
        <v>0</v>
      </c>
      <c r="Q135">
        <f t="shared" si="14"/>
        <v>0</v>
      </c>
      <c r="R135">
        <f t="shared" si="15"/>
        <v>0</v>
      </c>
      <c r="S135">
        <f t="shared" si="16"/>
        <v>1</v>
      </c>
      <c r="T135">
        <f t="shared" si="17"/>
        <v>0</v>
      </c>
    </row>
    <row r="136" spans="1:20">
      <c r="A136" t="s">
        <v>55</v>
      </c>
      <c r="B136" s="2">
        <v>45717</v>
      </c>
      <c r="C136" t="s">
        <v>20</v>
      </c>
      <c r="D136" t="s">
        <v>18</v>
      </c>
      <c r="E136">
        <v>52285.45</v>
      </c>
      <c r="F136">
        <v>3618</v>
      </c>
      <c r="G136">
        <v>8.5999999999999993E-2</v>
      </c>
      <c r="H136">
        <v>11</v>
      </c>
      <c r="I136">
        <v>95.6</v>
      </c>
      <c r="J136">
        <v>5.17</v>
      </c>
      <c r="K136">
        <v>1</v>
      </c>
      <c r="L136">
        <v>4.4000000000000004</v>
      </c>
      <c r="M136">
        <v>593247.25</v>
      </c>
      <c r="N136">
        <v>81240.289999999994</v>
      </c>
      <c r="O136">
        <f t="shared" si="12"/>
        <v>1</v>
      </c>
      <c r="P136">
        <f t="shared" si="13"/>
        <v>0</v>
      </c>
      <c r="Q136">
        <f t="shared" si="14"/>
        <v>0</v>
      </c>
      <c r="R136">
        <f t="shared" si="15"/>
        <v>0</v>
      </c>
      <c r="S136">
        <f t="shared" si="16"/>
        <v>1</v>
      </c>
      <c r="T136">
        <f t="shared" si="17"/>
        <v>0</v>
      </c>
    </row>
    <row r="137" spans="1:20">
      <c r="A137" t="s">
        <v>55</v>
      </c>
      <c r="B137" s="2">
        <v>45748</v>
      </c>
      <c r="C137" t="s">
        <v>20</v>
      </c>
      <c r="D137" t="s">
        <v>18</v>
      </c>
      <c r="E137">
        <v>70366.759999999995</v>
      </c>
      <c r="F137">
        <v>1963</v>
      </c>
      <c r="G137">
        <v>0.182</v>
      </c>
      <c r="H137">
        <v>8</v>
      </c>
      <c r="I137">
        <v>89.8</v>
      </c>
      <c r="J137">
        <v>3.2</v>
      </c>
      <c r="K137">
        <v>0</v>
      </c>
      <c r="L137">
        <v>4.5999999999999996</v>
      </c>
      <c r="M137">
        <v>529075.94999999995</v>
      </c>
      <c r="N137">
        <v>95978.83</v>
      </c>
      <c r="O137">
        <f t="shared" si="12"/>
        <v>1</v>
      </c>
      <c r="P137">
        <f t="shared" si="13"/>
        <v>0</v>
      </c>
      <c r="Q137">
        <f t="shared" si="14"/>
        <v>0</v>
      </c>
      <c r="R137">
        <f t="shared" si="15"/>
        <v>0</v>
      </c>
      <c r="S137">
        <f t="shared" si="16"/>
        <v>1</v>
      </c>
      <c r="T137">
        <f t="shared" si="17"/>
        <v>0</v>
      </c>
    </row>
    <row r="138" spans="1:20">
      <c r="A138" t="s">
        <v>56</v>
      </c>
      <c r="B138" s="2">
        <v>45658</v>
      </c>
      <c r="C138" t="s">
        <v>24</v>
      </c>
      <c r="D138" t="s">
        <v>16</v>
      </c>
      <c r="E138">
        <v>71320.66</v>
      </c>
      <c r="F138">
        <v>7888</v>
      </c>
      <c r="G138">
        <v>4.8000000000000001E-2</v>
      </c>
      <c r="H138">
        <v>20</v>
      </c>
      <c r="I138">
        <v>78.099999999999994</v>
      </c>
      <c r="J138">
        <v>3.4</v>
      </c>
      <c r="K138">
        <v>0</v>
      </c>
      <c r="L138">
        <v>3.9246794871794877</v>
      </c>
      <c r="M138">
        <v>633638.03</v>
      </c>
      <c r="N138">
        <v>99402.01</v>
      </c>
      <c r="O138">
        <f t="shared" si="12"/>
        <v>0</v>
      </c>
      <c r="P138">
        <f t="shared" si="13"/>
        <v>1</v>
      </c>
      <c r="Q138">
        <f t="shared" si="14"/>
        <v>0</v>
      </c>
      <c r="R138">
        <f t="shared" si="15"/>
        <v>0</v>
      </c>
      <c r="S138">
        <f t="shared" si="16"/>
        <v>0</v>
      </c>
      <c r="T138">
        <f t="shared" si="17"/>
        <v>0</v>
      </c>
    </row>
    <row r="139" spans="1:20">
      <c r="A139" t="s">
        <v>56</v>
      </c>
      <c r="B139" s="2">
        <v>45689</v>
      </c>
      <c r="C139" t="s">
        <v>24</v>
      </c>
      <c r="D139" t="s">
        <v>16</v>
      </c>
      <c r="E139">
        <v>75109.67</v>
      </c>
      <c r="F139">
        <v>6244</v>
      </c>
      <c r="G139">
        <v>7.9000000000000001E-2</v>
      </c>
      <c r="H139">
        <v>15</v>
      </c>
      <c r="I139">
        <v>96.3</v>
      </c>
      <c r="J139">
        <v>7.38</v>
      </c>
      <c r="K139">
        <v>0</v>
      </c>
      <c r="L139">
        <v>3.7</v>
      </c>
      <c r="M139">
        <v>743348.84</v>
      </c>
      <c r="N139">
        <v>104186.09</v>
      </c>
      <c r="O139">
        <f t="shared" si="12"/>
        <v>0</v>
      </c>
      <c r="P139">
        <f t="shared" si="13"/>
        <v>1</v>
      </c>
      <c r="Q139">
        <f t="shared" si="14"/>
        <v>0</v>
      </c>
      <c r="R139">
        <f t="shared" si="15"/>
        <v>0</v>
      </c>
      <c r="S139">
        <f t="shared" si="16"/>
        <v>0</v>
      </c>
      <c r="T139">
        <f t="shared" si="17"/>
        <v>0</v>
      </c>
    </row>
    <row r="140" spans="1:20">
      <c r="A140" t="s">
        <v>56</v>
      </c>
      <c r="B140" s="2">
        <v>45717</v>
      </c>
      <c r="C140" t="s">
        <v>24</v>
      </c>
      <c r="D140" t="s">
        <v>16</v>
      </c>
      <c r="E140">
        <v>69779</v>
      </c>
      <c r="F140">
        <v>6544</v>
      </c>
      <c r="G140">
        <v>0.152</v>
      </c>
      <c r="H140">
        <v>18</v>
      </c>
      <c r="I140">
        <v>90.2</v>
      </c>
      <c r="J140">
        <v>0.85</v>
      </c>
      <c r="K140">
        <v>1</v>
      </c>
      <c r="L140">
        <v>3.3</v>
      </c>
      <c r="M140">
        <v>758827.64</v>
      </c>
      <c r="N140">
        <v>161439.48000000001</v>
      </c>
      <c r="O140">
        <f t="shared" si="12"/>
        <v>0</v>
      </c>
      <c r="P140">
        <f t="shared" si="13"/>
        <v>1</v>
      </c>
      <c r="Q140">
        <f t="shared" si="14"/>
        <v>0</v>
      </c>
      <c r="R140">
        <f t="shared" si="15"/>
        <v>0</v>
      </c>
      <c r="S140">
        <f t="shared" si="16"/>
        <v>0</v>
      </c>
      <c r="T140">
        <f t="shared" si="17"/>
        <v>0</v>
      </c>
    </row>
    <row r="141" spans="1:20">
      <c r="A141" t="s">
        <v>56</v>
      </c>
      <c r="B141" s="2">
        <v>45748</v>
      </c>
      <c r="C141" t="s">
        <v>24</v>
      </c>
      <c r="D141" t="s">
        <v>16</v>
      </c>
      <c r="E141">
        <v>44211.95</v>
      </c>
      <c r="F141">
        <v>5465</v>
      </c>
      <c r="G141">
        <v>0.187</v>
      </c>
      <c r="H141">
        <v>12</v>
      </c>
      <c r="I141">
        <v>90</v>
      </c>
      <c r="J141">
        <v>2.89</v>
      </c>
      <c r="K141">
        <v>0</v>
      </c>
      <c r="L141">
        <v>3.6</v>
      </c>
      <c r="M141">
        <v>646559.71</v>
      </c>
      <c r="N141">
        <v>97981.75</v>
      </c>
      <c r="O141">
        <f t="shared" si="12"/>
        <v>0</v>
      </c>
      <c r="P141">
        <f t="shared" si="13"/>
        <v>1</v>
      </c>
      <c r="Q141">
        <f t="shared" si="14"/>
        <v>0</v>
      </c>
      <c r="R141">
        <f t="shared" si="15"/>
        <v>0</v>
      </c>
      <c r="S141">
        <f t="shared" si="16"/>
        <v>0</v>
      </c>
      <c r="T141">
        <f t="shared" si="17"/>
        <v>0</v>
      </c>
    </row>
    <row r="142" spans="1:20">
      <c r="A142" t="s">
        <v>57</v>
      </c>
      <c r="B142" s="2">
        <v>45658</v>
      </c>
      <c r="C142" t="s">
        <v>27</v>
      </c>
      <c r="D142" t="s">
        <v>18</v>
      </c>
      <c r="E142">
        <v>51430.31</v>
      </c>
      <c r="F142">
        <v>6427</v>
      </c>
      <c r="G142">
        <v>0.23400000000000001</v>
      </c>
      <c r="H142">
        <v>14</v>
      </c>
      <c r="I142">
        <v>88.8</v>
      </c>
      <c r="J142">
        <v>0.77</v>
      </c>
      <c r="K142">
        <v>0</v>
      </c>
      <c r="L142">
        <v>4.0999999999999996</v>
      </c>
      <c r="M142">
        <v>715890.53</v>
      </c>
      <c r="N142">
        <v>109032.15</v>
      </c>
      <c r="O142">
        <f t="shared" si="12"/>
        <v>0</v>
      </c>
      <c r="P142">
        <f t="shared" si="13"/>
        <v>0</v>
      </c>
      <c r="Q142">
        <f t="shared" si="14"/>
        <v>1</v>
      </c>
      <c r="R142">
        <f t="shared" si="15"/>
        <v>0</v>
      </c>
      <c r="S142">
        <f t="shared" si="16"/>
        <v>1</v>
      </c>
      <c r="T142">
        <f t="shared" si="17"/>
        <v>0</v>
      </c>
    </row>
    <row r="143" spans="1:20">
      <c r="A143" t="s">
        <v>57</v>
      </c>
      <c r="B143" s="2">
        <v>45689</v>
      </c>
      <c r="C143" t="s">
        <v>27</v>
      </c>
      <c r="D143" t="s">
        <v>18</v>
      </c>
      <c r="E143">
        <v>45706.49</v>
      </c>
      <c r="F143">
        <v>6704</v>
      </c>
      <c r="G143">
        <v>3.7999999999999999E-2</v>
      </c>
      <c r="H143">
        <v>15</v>
      </c>
      <c r="I143">
        <v>94.2</v>
      </c>
      <c r="J143">
        <v>2.92</v>
      </c>
      <c r="K143">
        <v>0</v>
      </c>
      <c r="L143">
        <v>4.2</v>
      </c>
      <c r="M143">
        <v>715097.57</v>
      </c>
      <c r="N143">
        <v>151875.85999999999</v>
      </c>
      <c r="O143">
        <f t="shared" si="12"/>
        <v>0</v>
      </c>
      <c r="P143">
        <f t="shared" si="13"/>
        <v>0</v>
      </c>
      <c r="Q143">
        <f t="shared" si="14"/>
        <v>1</v>
      </c>
      <c r="R143">
        <f t="shared" si="15"/>
        <v>0</v>
      </c>
      <c r="S143">
        <f t="shared" si="16"/>
        <v>1</v>
      </c>
      <c r="T143">
        <f t="shared" si="17"/>
        <v>0</v>
      </c>
    </row>
    <row r="144" spans="1:20">
      <c r="A144" t="s">
        <v>57</v>
      </c>
      <c r="B144" s="2">
        <v>45717</v>
      </c>
      <c r="C144" t="s">
        <v>27</v>
      </c>
      <c r="D144" t="s">
        <v>18</v>
      </c>
      <c r="E144">
        <v>44034.6</v>
      </c>
      <c r="F144">
        <v>5645</v>
      </c>
      <c r="G144">
        <v>6.9000000000000006E-2</v>
      </c>
      <c r="H144">
        <v>18</v>
      </c>
      <c r="I144">
        <v>88.5</v>
      </c>
      <c r="J144">
        <v>3.07</v>
      </c>
      <c r="K144">
        <v>0</v>
      </c>
      <c r="L144">
        <v>3.8</v>
      </c>
      <c r="M144">
        <v>682639.28</v>
      </c>
      <c r="N144">
        <v>77557.53</v>
      </c>
      <c r="O144">
        <f t="shared" si="12"/>
        <v>0</v>
      </c>
      <c r="P144">
        <f t="shared" si="13"/>
        <v>0</v>
      </c>
      <c r="Q144">
        <f t="shared" si="14"/>
        <v>1</v>
      </c>
      <c r="R144">
        <f t="shared" si="15"/>
        <v>0</v>
      </c>
      <c r="S144">
        <f t="shared" si="16"/>
        <v>1</v>
      </c>
      <c r="T144">
        <f t="shared" si="17"/>
        <v>0</v>
      </c>
    </row>
    <row r="145" spans="1:20">
      <c r="A145" t="s">
        <v>57</v>
      </c>
      <c r="B145" s="2">
        <v>45748</v>
      </c>
      <c r="C145" t="s">
        <v>27</v>
      </c>
      <c r="D145" t="s">
        <v>18</v>
      </c>
      <c r="E145">
        <v>50198.12</v>
      </c>
      <c r="F145">
        <v>6089</v>
      </c>
      <c r="G145">
        <v>0.182</v>
      </c>
      <c r="H145">
        <v>19</v>
      </c>
      <c r="I145">
        <v>94</v>
      </c>
      <c r="J145">
        <v>9.6999999999999993</v>
      </c>
      <c r="K145">
        <v>0</v>
      </c>
      <c r="L145">
        <v>3.9</v>
      </c>
      <c r="M145">
        <v>695098.51</v>
      </c>
      <c r="N145">
        <v>108192.75</v>
      </c>
      <c r="O145">
        <f t="shared" si="12"/>
        <v>0</v>
      </c>
      <c r="P145">
        <f t="shared" si="13"/>
        <v>0</v>
      </c>
      <c r="Q145">
        <f t="shared" si="14"/>
        <v>1</v>
      </c>
      <c r="R145">
        <f t="shared" si="15"/>
        <v>0</v>
      </c>
      <c r="S145">
        <f t="shared" si="16"/>
        <v>1</v>
      </c>
      <c r="T145">
        <f t="shared" si="17"/>
        <v>0</v>
      </c>
    </row>
    <row r="146" spans="1:20">
      <c r="A146" t="s">
        <v>58</v>
      </c>
      <c r="B146" s="2">
        <v>45658</v>
      </c>
      <c r="C146" t="s">
        <v>20</v>
      </c>
      <c r="D146" t="s">
        <v>16</v>
      </c>
      <c r="E146">
        <v>70488.2</v>
      </c>
      <c r="F146">
        <v>4312</v>
      </c>
      <c r="G146">
        <v>0.16900000000000001</v>
      </c>
      <c r="H146">
        <v>12</v>
      </c>
      <c r="I146">
        <v>90.2</v>
      </c>
      <c r="J146">
        <v>3.71</v>
      </c>
      <c r="K146">
        <v>0</v>
      </c>
      <c r="L146">
        <v>3.2</v>
      </c>
      <c r="M146">
        <v>577732.56999999995</v>
      </c>
      <c r="N146">
        <v>93804.27</v>
      </c>
      <c r="O146">
        <f t="shared" si="12"/>
        <v>1</v>
      </c>
      <c r="P146">
        <f t="shared" si="13"/>
        <v>0</v>
      </c>
      <c r="Q146">
        <f t="shared" si="14"/>
        <v>0</v>
      </c>
      <c r="R146">
        <f t="shared" si="15"/>
        <v>0</v>
      </c>
      <c r="S146">
        <f t="shared" si="16"/>
        <v>0</v>
      </c>
      <c r="T146">
        <f t="shared" si="17"/>
        <v>0</v>
      </c>
    </row>
    <row r="147" spans="1:20">
      <c r="A147" t="s">
        <v>58</v>
      </c>
      <c r="B147" s="2">
        <v>45689</v>
      </c>
      <c r="C147" t="s">
        <v>20</v>
      </c>
      <c r="D147" t="s">
        <v>16</v>
      </c>
      <c r="E147">
        <v>50909.27</v>
      </c>
      <c r="F147">
        <v>3152</v>
      </c>
      <c r="G147">
        <v>0.06</v>
      </c>
      <c r="H147">
        <v>13</v>
      </c>
      <c r="I147">
        <v>93.7</v>
      </c>
      <c r="J147">
        <v>10.79</v>
      </c>
      <c r="K147">
        <v>0</v>
      </c>
      <c r="L147">
        <v>3.5</v>
      </c>
      <c r="M147">
        <v>537058.32999999996</v>
      </c>
      <c r="N147">
        <v>93555.71</v>
      </c>
      <c r="O147">
        <f t="shared" si="12"/>
        <v>1</v>
      </c>
      <c r="P147">
        <f t="shared" si="13"/>
        <v>0</v>
      </c>
      <c r="Q147">
        <f t="shared" si="14"/>
        <v>0</v>
      </c>
      <c r="R147">
        <f t="shared" si="15"/>
        <v>0</v>
      </c>
      <c r="S147">
        <f t="shared" si="16"/>
        <v>0</v>
      </c>
      <c r="T147">
        <f t="shared" si="17"/>
        <v>0</v>
      </c>
    </row>
    <row r="148" spans="1:20">
      <c r="A148" t="s">
        <v>58</v>
      </c>
      <c r="B148" s="2">
        <v>45717</v>
      </c>
      <c r="C148" t="s">
        <v>20</v>
      </c>
      <c r="D148" t="s">
        <v>16</v>
      </c>
      <c r="E148">
        <v>53351.7</v>
      </c>
      <c r="F148">
        <v>4259</v>
      </c>
      <c r="G148">
        <v>0.156</v>
      </c>
      <c r="H148">
        <v>15</v>
      </c>
      <c r="I148">
        <v>93.7</v>
      </c>
      <c r="J148">
        <v>6.03</v>
      </c>
      <c r="K148">
        <v>0</v>
      </c>
      <c r="L148">
        <v>3.4</v>
      </c>
      <c r="M148">
        <v>601568.87</v>
      </c>
      <c r="N148">
        <v>91634.82</v>
      </c>
      <c r="O148">
        <f t="shared" si="12"/>
        <v>1</v>
      </c>
      <c r="P148">
        <f t="shared" si="13"/>
        <v>0</v>
      </c>
      <c r="Q148">
        <f t="shared" si="14"/>
        <v>0</v>
      </c>
      <c r="R148">
        <f t="shared" si="15"/>
        <v>0</v>
      </c>
      <c r="S148">
        <f t="shared" si="16"/>
        <v>0</v>
      </c>
      <c r="T148">
        <f t="shared" si="17"/>
        <v>0</v>
      </c>
    </row>
    <row r="149" spans="1:20">
      <c r="A149" t="s">
        <v>58</v>
      </c>
      <c r="B149" s="2">
        <v>45748</v>
      </c>
      <c r="C149" t="s">
        <v>20</v>
      </c>
      <c r="D149" t="s">
        <v>16</v>
      </c>
      <c r="E149">
        <v>60322.400000000001</v>
      </c>
      <c r="F149">
        <v>3350</v>
      </c>
      <c r="G149">
        <v>0.108</v>
      </c>
      <c r="H149">
        <v>12</v>
      </c>
      <c r="I149">
        <v>89.4</v>
      </c>
      <c r="J149">
        <v>4.92</v>
      </c>
      <c r="K149">
        <v>0</v>
      </c>
      <c r="L149">
        <v>3.4</v>
      </c>
      <c r="M149">
        <v>570964.84</v>
      </c>
      <c r="N149">
        <v>81331.070000000007</v>
      </c>
      <c r="O149">
        <f t="shared" si="12"/>
        <v>1</v>
      </c>
      <c r="P149">
        <f t="shared" si="13"/>
        <v>0</v>
      </c>
      <c r="Q149">
        <f t="shared" si="14"/>
        <v>0</v>
      </c>
      <c r="R149">
        <f t="shared" si="15"/>
        <v>0</v>
      </c>
      <c r="S149">
        <f t="shared" si="16"/>
        <v>0</v>
      </c>
      <c r="T149">
        <f t="shared" si="17"/>
        <v>0</v>
      </c>
    </row>
    <row r="150" spans="1:20">
      <c r="A150" t="s">
        <v>59</v>
      </c>
      <c r="B150" s="2">
        <v>45658</v>
      </c>
      <c r="C150" t="s">
        <v>24</v>
      </c>
      <c r="D150" t="s">
        <v>28</v>
      </c>
      <c r="E150">
        <v>51575.68</v>
      </c>
      <c r="F150">
        <v>5329</v>
      </c>
      <c r="G150">
        <v>4.7E-2</v>
      </c>
      <c r="H150">
        <v>17</v>
      </c>
      <c r="I150">
        <v>88.1</v>
      </c>
      <c r="J150">
        <v>19.78</v>
      </c>
      <c r="K150">
        <v>0</v>
      </c>
      <c r="L150">
        <v>3.8</v>
      </c>
      <c r="M150">
        <v>614024.91</v>
      </c>
      <c r="N150">
        <v>84828.93</v>
      </c>
      <c r="O150">
        <f t="shared" si="12"/>
        <v>0</v>
      </c>
      <c r="P150">
        <f t="shared" si="13"/>
        <v>1</v>
      </c>
      <c r="Q150">
        <f t="shared" si="14"/>
        <v>0</v>
      </c>
      <c r="R150">
        <f t="shared" si="15"/>
        <v>0</v>
      </c>
      <c r="S150">
        <f t="shared" si="16"/>
        <v>0</v>
      </c>
      <c r="T150">
        <f t="shared" si="17"/>
        <v>1</v>
      </c>
    </row>
    <row r="151" spans="1:20">
      <c r="A151" t="s">
        <v>59</v>
      </c>
      <c r="B151" s="2">
        <v>45689</v>
      </c>
      <c r="C151" t="s">
        <v>24</v>
      </c>
      <c r="D151" t="s">
        <v>28</v>
      </c>
      <c r="E151">
        <v>43319.94</v>
      </c>
      <c r="F151">
        <v>6551</v>
      </c>
      <c r="G151">
        <v>4.3999999999999997E-2</v>
      </c>
      <c r="H151">
        <v>13</v>
      </c>
      <c r="I151">
        <v>99</v>
      </c>
      <c r="J151">
        <v>5.45</v>
      </c>
      <c r="K151">
        <v>0</v>
      </c>
      <c r="L151">
        <v>4.0999999999999996</v>
      </c>
      <c r="M151">
        <v>712868.35</v>
      </c>
      <c r="N151">
        <v>133650.51</v>
      </c>
      <c r="O151">
        <f t="shared" si="12"/>
        <v>0</v>
      </c>
      <c r="P151">
        <f t="shared" si="13"/>
        <v>1</v>
      </c>
      <c r="Q151">
        <f t="shared" si="14"/>
        <v>0</v>
      </c>
      <c r="R151">
        <f t="shared" si="15"/>
        <v>0</v>
      </c>
      <c r="S151">
        <f t="shared" si="16"/>
        <v>0</v>
      </c>
      <c r="T151">
        <f t="shared" si="17"/>
        <v>1</v>
      </c>
    </row>
    <row r="152" spans="1:20">
      <c r="A152" t="s">
        <v>59</v>
      </c>
      <c r="B152" s="2">
        <v>45717</v>
      </c>
      <c r="C152" t="s">
        <v>24</v>
      </c>
      <c r="D152" t="s">
        <v>28</v>
      </c>
      <c r="E152">
        <v>47093.55</v>
      </c>
      <c r="F152">
        <v>5550</v>
      </c>
      <c r="G152">
        <v>0.1</v>
      </c>
      <c r="H152">
        <v>12</v>
      </c>
      <c r="I152">
        <v>95</v>
      </c>
      <c r="J152">
        <v>2.33</v>
      </c>
      <c r="K152">
        <v>1</v>
      </c>
      <c r="L152">
        <v>3.7</v>
      </c>
      <c r="M152">
        <v>696744.15</v>
      </c>
      <c r="N152">
        <v>152230.09</v>
      </c>
      <c r="O152">
        <f t="shared" si="12"/>
        <v>0</v>
      </c>
      <c r="P152">
        <f t="shared" si="13"/>
        <v>1</v>
      </c>
      <c r="Q152">
        <f t="shared" si="14"/>
        <v>0</v>
      </c>
      <c r="R152">
        <f t="shared" si="15"/>
        <v>0</v>
      </c>
      <c r="S152">
        <f t="shared" si="16"/>
        <v>0</v>
      </c>
      <c r="T152">
        <f t="shared" si="17"/>
        <v>1</v>
      </c>
    </row>
    <row r="153" spans="1:20">
      <c r="A153" t="s">
        <v>59</v>
      </c>
      <c r="B153" s="2">
        <v>45748</v>
      </c>
      <c r="C153" t="s">
        <v>24</v>
      </c>
      <c r="D153" t="s">
        <v>28</v>
      </c>
      <c r="E153">
        <v>71855.09</v>
      </c>
      <c r="F153">
        <v>5911</v>
      </c>
      <c r="G153">
        <v>0.19700000000000001</v>
      </c>
      <c r="H153">
        <v>15</v>
      </c>
      <c r="I153">
        <v>94.3</v>
      </c>
      <c r="J153">
        <v>3.55</v>
      </c>
      <c r="K153">
        <v>0</v>
      </c>
      <c r="L153">
        <v>4.0999999999999996</v>
      </c>
      <c r="M153">
        <v>725847.99</v>
      </c>
      <c r="N153">
        <v>122698.73</v>
      </c>
      <c r="O153">
        <f t="shared" si="12"/>
        <v>0</v>
      </c>
      <c r="P153">
        <f t="shared" si="13"/>
        <v>1</v>
      </c>
      <c r="Q153">
        <f t="shared" si="14"/>
        <v>0</v>
      </c>
      <c r="R153">
        <f t="shared" si="15"/>
        <v>0</v>
      </c>
      <c r="S153">
        <f t="shared" si="16"/>
        <v>0</v>
      </c>
      <c r="T153">
        <f t="shared" si="17"/>
        <v>1</v>
      </c>
    </row>
    <row r="154" spans="1:20">
      <c r="A154" t="s">
        <v>60</v>
      </c>
      <c r="B154" s="2">
        <v>45658</v>
      </c>
      <c r="C154" t="s">
        <v>15</v>
      </c>
      <c r="D154" t="s">
        <v>18</v>
      </c>
      <c r="E154">
        <v>75645.23</v>
      </c>
      <c r="F154">
        <v>9674</v>
      </c>
      <c r="G154">
        <v>0.23400000000000001</v>
      </c>
      <c r="H154">
        <v>21</v>
      </c>
      <c r="I154">
        <v>87.4</v>
      </c>
      <c r="J154">
        <v>0.2</v>
      </c>
      <c r="K154">
        <v>0</v>
      </c>
      <c r="L154">
        <v>4.5</v>
      </c>
      <c r="M154">
        <v>785028.25</v>
      </c>
      <c r="N154">
        <v>110726.44</v>
      </c>
      <c r="O154">
        <f t="shared" si="12"/>
        <v>0</v>
      </c>
      <c r="P154">
        <f t="shared" si="13"/>
        <v>0</v>
      </c>
      <c r="Q154">
        <f t="shared" si="14"/>
        <v>0</v>
      </c>
      <c r="R154">
        <f t="shared" si="15"/>
        <v>0</v>
      </c>
      <c r="S154">
        <f t="shared" si="16"/>
        <v>1</v>
      </c>
      <c r="T154">
        <f t="shared" si="17"/>
        <v>0</v>
      </c>
    </row>
    <row r="155" spans="1:20">
      <c r="A155" t="s">
        <v>60</v>
      </c>
      <c r="B155" s="2">
        <v>45689</v>
      </c>
      <c r="C155" t="s">
        <v>15</v>
      </c>
      <c r="D155" t="s">
        <v>18</v>
      </c>
      <c r="E155">
        <v>64374.75</v>
      </c>
      <c r="F155">
        <v>6740</v>
      </c>
      <c r="G155">
        <v>0.16900000000000001</v>
      </c>
      <c r="H155">
        <v>18</v>
      </c>
      <c r="I155">
        <v>87</v>
      </c>
      <c r="J155">
        <v>2.09</v>
      </c>
      <c r="K155">
        <v>0</v>
      </c>
      <c r="L155">
        <v>4.2</v>
      </c>
      <c r="M155">
        <v>698492.67</v>
      </c>
      <c r="N155">
        <v>117319.32</v>
      </c>
      <c r="O155">
        <f t="shared" si="12"/>
        <v>0</v>
      </c>
      <c r="P155">
        <f t="shared" si="13"/>
        <v>0</v>
      </c>
      <c r="Q155">
        <f t="shared" si="14"/>
        <v>0</v>
      </c>
      <c r="R155">
        <f t="shared" si="15"/>
        <v>0</v>
      </c>
      <c r="S155">
        <f t="shared" si="16"/>
        <v>1</v>
      </c>
      <c r="T155">
        <f t="shared" si="17"/>
        <v>0</v>
      </c>
    </row>
    <row r="156" spans="1:20">
      <c r="A156" t="s">
        <v>60</v>
      </c>
      <c r="B156" s="2">
        <v>45717</v>
      </c>
      <c r="C156" t="s">
        <v>15</v>
      </c>
      <c r="D156" t="s">
        <v>18</v>
      </c>
      <c r="E156">
        <v>61433.84</v>
      </c>
      <c r="F156">
        <v>7745</v>
      </c>
      <c r="G156">
        <v>0.18</v>
      </c>
      <c r="H156">
        <v>16</v>
      </c>
      <c r="I156">
        <v>90.5</v>
      </c>
      <c r="J156">
        <v>2.2599999999999998</v>
      </c>
      <c r="K156">
        <v>0</v>
      </c>
      <c r="L156">
        <v>4.2</v>
      </c>
      <c r="M156">
        <v>685830.24</v>
      </c>
      <c r="N156">
        <v>128736.18</v>
      </c>
      <c r="O156">
        <f t="shared" si="12"/>
        <v>0</v>
      </c>
      <c r="P156">
        <f t="shared" si="13"/>
        <v>0</v>
      </c>
      <c r="Q156">
        <f t="shared" si="14"/>
        <v>0</v>
      </c>
      <c r="R156">
        <f t="shared" si="15"/>
        <v>0</v>
      </c>
      <c r="S156">
        <f t="shared" si="16"/>
        <v>1</v>
      </c>
      <c r="T156">
        <f t="shared" si="17"/>
        <v>0</v>
      </c>
    </row>
    <row r="157" spans="1:20">
      <c r="A157" t="s">
        <v>60</v>
      </c>
      <c r="B157" s="2">
        <v>45748</v>
      </c>
      <c r="C157" t="s">
        <v>15</v>
      </c>
      <c r="D157" t="s">
        <v>18</v>
      </c>
      <c r="E157">
        <v>42698.14</v>
      </c>
      <c r="F157">
        <v>7693</v>
      </c>
      <c r="G157">
        <v>0.187</v>
      </c>
      <c r="H157">
        <v>19</v>
      </c>
      <c r="I157">
        <v>90.1</v>
      </c>
      <c r="J157">
        <v>0.44</v>
      </c>
      <c r="K157">
        <v>0</v>
      </c>
      <c r="L157">
        <v>4.4000000000000004</v>
      </c>
      <c r="M157">
        <v>702318.94</v>
      </c>
      <c r="N157">
        <v>112829.29</v>
      </c>
      <c r="O157">
        <f t="shared" si="12"/>
        <v>0</v>
      </c>
      <c r="P157">
        <f t="shared" si="13"/>
        <v>0</v>
      </c>
      <c r="Q157">
        <f t="shared" si="14"/>
        <v>0</v>
      </c>
      <c r="R157">
        <f t="shared" si="15"/>
        <v>0</v>
      </c>
      <c r="S157">
        <f t="shared" si="16"/>
        <v>1</v>
      </c>
      <c r="T157">
        <f t="shared" si="17"/>
        <v>0</v>
      </c>
    </row>
    <row r="158" spans="1:20">
      <c r="A158" t="s">
        <v>61</v>
      </c>
      <c r="B158" s="2">
        <v>45658</v>
      </c>
      <c r="C158" t="s">
        <v>20</v>
      </c>
      <c r="D158" t="s">
        <v>28</v>
      </c>
      <c r="E158">
        <v>86883.31</v>
      </c>
      <c r="F158">
        <v>6424</v>
      </c>
      <c r="G158">
        <v>5.7000000000000002E-2</v>
      </c>
      <c r="H158">
        <v>19</v>
      </c>
      <c r="I158">
        <v>85.2</v>
      </c>
      <c r="J158">
        <v>3.08</v>
      </c>
      <c r="K158">
        <v>0</v>
      </c>
      <c r="L158">
        <v>3.9</v>
      </c>
      <c r="M158">
        <v>700078.32</v>
      </c>
      <c r="N158">
        <v>123707.58</v>
      </c>
      <c r="O158">
        <f t="shared" si="12"/>
        <v>1</v>
      </c>
      <c r="P158">
        <f t="shared" si="13"/>
        <v>0</v>
      </c>
      <c r="Q158">
        <f t="shared" si="14"/>
        <v>0</v>
      </c>
      <c r="R158">
        <f t="shared" si="15"/>
        <v>0</v>
      </c>
      <c r="S158">
        <f t="shared" si="16"/>
        <v>0</v>
      </c>
      <c r="T158">
        <f t="shared" si="17"/>
        <v>1</v>
      </c>
    </row>
    <row r="159" spans="1:20">
      <c r="A159" t="s">
        <v>61</v>
      </c>
      <c r="B159" s="2">
        <v>45689</v>
      </c>
      <c r="C159" t="s">
        <v>20</v>
      </c>
      <c r="D159" t="s">
        <v>28</v>
      </c>
      <c r="E159">
        <v>41863.08</v>
      </c>
      <c r="F159">
        <v>5400</v>
      </c>
      <c r="G159">
        <v>0.114</v>
      </c>
      <c r="H159">
        <v>11</v>
      </c>
      <c r="I159">
        <v>91.6</v>
      </c>
      <c r="J159">
        <v>7.99</v>
      </c>
      <c r="K159">
        <v>0</v>
      </c>
      <c r="L159">
        <v>3</v>
      </c>
      <c r="M159">
        <v>602002.31999999995</v>
      </c>
      <c r="N159">
        <v>110453.28</v>
      </c>
      <c r="O159">
        <f t="shared" si="12"/>
        <v>1</v>
      </c>
      <c r="P159">
        <f t="shared" si="13"/>
        <v>0</v>
      </c>
      <c r="Q159">
        <f t="shared" si="14"/>
        <v>0</v>
      </c>
      <c r="R159">
        <f t="shared" si="15"/>
        <v>0</v>
      </c>
      <c r="S159">
        <f t="shared" si="16"/>
        <v>0</v>
      </c>
      <c r="T159">
        <f t="shared" si="17"/>
        <v>1</v>
      </c>
    </row>
    <row r="160" spans="1:20">
      <c r="A160" t="s">
        <v>61</v>
      </c>
      <c r="B160" s="2">
        <v>45717</v>
      </c>
      <c r="C160" t="s">
        <v>20</v>
      </c>
      <c r="D160" t="s">
        <v>28</v>
      </c>
      <c r="E160">
        <v>56918.16</v>
      </c>
      <c r="F160">
        <v>7015</v>
      </c>
      <c r="G160">
        <v>0.158</v>
      </c>
      <c r="H160">
        <v>18</v>
      </c>
      <c r="I160">
        <v>74.2</v>
      </c>
      <c r="J160">
        <v>0.2</v>
      </c>
      <c r="K160">
        <v>0</v>
      </c>
      <c r="L160">
        <v>3.4</v>
      </c>
      <c r="M160">
        <v>724216.07</v>
      </c>
      <c r="N160">
        <v>100627.56</v>
      </c>
      <c r="O160">
        <f t="shared" si="12"/>
        <v>1</v>
      </c>
      <c r="P160">
        <f t="shared" si="13"/>
        <v>0</v>
      </c>
      <c r="Q160">
        <f t="shared" si="14"/>
        <v>0</v>
      </c>
      <c r="R160">
        <f t="shared" si="15"/>
        <v>0</v>
      </c>
      <c r="S160">
        <f t="shared" si="16"/>
        <v>0</v>
      </c>
      <c r="T160">
        <f t="shared" si="17"/>
        <v>1</v>
      </c>
    </row>
    <row r="161" spans="1:20">
      <c r="A161" t="s">
        <v>61</v>
      </c>
      <c r="B161" s="2">
        <v>45748</v>
      </c>
      <c r="C161" t="s">
        <v>20</v>
      </c>
      <c r="D161" t="s">
        <v>28</v>
      </c>
      <c r="E161">
        <v>23254.57</v>
      </c>
      <c r="F161">
        <v>3847</v>
      </c>
      <c r="G161">
        <v>0.159</v>
      </c>
      <c r="H161">
        <v>12</v>
      </c>
      <c r="I161">
        <v>93</v>
      </c>
      <c r="J161">
        <v>5.46</v>
      </c>
      <c r="K161">
        <v>0</v>
      </c>
      <c r="L161">
        <v>3.3</v>
      </c>
      <c r="M161">
        <v>620973.03</v>
      </c>
      <c r="N161">
        <v>72303.850000000006</v>
      </c>
      <c r="O161">
        <f t="shared" si="12"/>
        <v>1</v>
      </c>
      <c r="P161">
        <f t="shared" si="13"/>
        <v>0</v>
      </c>
      <c r="Q161">
        <f t="shared" si="14"/>
        <v>0</v>
      </c>
      <c r="R161">
        <f t="shared" si="15"/>
        <v>0</v>
      </c>
      <c r="S161">
        <f t="shared" si="16"/>
        <v>0</v>
      </c>
      <c r="T161">
        <f t="shared" si="17"/>
        <v>1</v>
      </c>
    </row>
    <row r="162" spans="1:20">
      <c r="A162" t="s">
        <v>62</v>
      </c>
      <c r="B162" s="2">
        <v>45658</v>
      </c>
      <c r="C162" t="s">
        <v>24</v>
      </c>
      <c r="D162" t="s">
        <v>18</v>
      </c>
      <c r="E162">
        <v>41443.410000000003</v>
      </c>
      <c r="F162">
        <v>7455</v>
      </c>
      <c r="G162">
        <v>0.17499999999999999</v>
      </c>
      <c r="H162">
        <v>16</v>
      </c>
      <c r="I162">
        <v>90.1</v>
      </c>
      <c r="J162">
        <v>4.05</v>
      </c>
      <c r="K162">
        <v>0</v>
      </c>
      <c r="L162">
        <v>4</v>
      </c>
      <c r="M162">
        <v>650480.06000000006</v>
      </c>
      <c r="N162">
        <v>109012.07</v>
      </c>
      <c r="O162">
        <f t="shared" si="12"/>
        <v>0</v>
      </c>
      <c r="P162">
        <f t="shared" si="13"/>
        <v>1</v>
      </c>
      <c r="Q162">
        <f t="shared" si="14"/>
        <v>0</v>
      </c>
      <c r="R162">
        <f t="shared" si="15"/>
        <v>0</v>
      </c>
      <c r="S162">
        <f t="shared" si="16"/>
        <v>1</v>
      </c>
      <c r="T162">
        <f t="shared" si="17"/>
        <v>0</v>
      </c>
    </row>
    <row r="163" spans="1:20">
      <c r="A163" t="s">
        <v>62</v>
      </c>
      <c r="B163" s="2">
        <v>45689</v>
      </c>
      <c r="C163" t="s">
        <v>24</v>
      </c>
      <c r="D163" t="s">
        <v>18</v>
      </c>
      <c r="E163">
        <v>48438.85</v>
      </c>
      <c r="F163">
        <v>6992</v>
      </c>
      <c r="G163">
        <v>3.4000000000000002E-2</v>
      </c>
      <c r="H163">
        <v>20</v>
      </c>
      <c r="I163">
        <v>91</v>
      </c>
      <c r="J163">
        <v>4.3600000000000003</v>
      </c>
      <c r="K163">
        <v>0</v>
      </c>
      <c r="L163">
        <v>4.2</v>
      </c>
      <c r="M163">
        <v>778298.88</v>
      </c>
      <c r="N163">
        <v>130076.72</v>
      </c>
      <c r="O163">
        <f t="shared" si="12"/>
        <v>0</v>
      </c>
      <c r="P163">
        <f t="shared" si="13"/>
        <v>1</v>
      </c>
      <c r="Q163">
        <f t="shared" si="14"/>
        <v>0</v>
      </c>
      <c r="R163">
        <f t="shared" si="15"/>
        <v>0</v>
      </c>
      <c r="S163">
        <f t="shared" si="16"/>
        <v>1</v>
      </c>
      <c r="T163">
        <f t="shared" si="17"/>
        <v>0</v>
      </c>
    </row>
    <row r="164" spans="1:20">
      <c r="A164" t="s">
        <v>62</v>
      </c>
      <c r="B164" s="2">
        <v>45717</v>
      </c>
      <c r="C164" t="s">
        <v>24</v>
      </c>
      <c r="D164" t="s">
        <v>18</v>
      </c>
      <c r="E164">
        <v>57143.3</v>
      </c>
      <c r="F164">
        <v>8038</v>
      </c>
      <c r="G164">
        <v>0.193</v>
      </c>
      <c r="H164">
        <v>17</v>
      </c>
      <c r="I164">
        <v>72.599999999999994</v>
      </c>
      <c r="J164">
        <v>4.5590445859872624</v>
      </c>
      <c r="K164">
        <v>0</v>
      </c>
      <c r="L164">
        <v>4.2</v>
      </c>
      <c r="M164">
        <v>677096.71</v>
      </c>
      <c r="N164">
        <v>97174.11</v>
      </c>
      <c r="O164">
        <f t="shared" si="12"/>
        <v>0</v>
      </c>
      <c r="P164">
        <f t="shared" si="13"/>
        <v>1</v>
      </c>
      <c r="Q164">
        <f t="shared" si="14"/>
        <v>0</v>
      </c>
      <c r="R164">
        <f t="shared" si="15"/>
        <v>0</v>
      </c>
      <c r="S164">
        <f t="shared" si="16"/>
        <v>1</v>
      </c>
      <c r="T164">
        <f t="shared" si="17"/>
        <v>0</v>
      </c>
    </row>
    <row r="165" spans="1:20">
      <c r="A165" t="s">
        <v>62</v>
      </c>
      <c r="B165" s="2">
        <v>45748</v>
      </c>
      <c r="C165" t="s">
        <v>24</v>
      </c>
      <c r="D165" t="s">
        <v>18</v>
      </c>
      <c r="E165">
        <v>66870.62</v>
      </c>
      <c r="F165">
        <v>6055</v>
      </c>
      <c r="G165">
        <v>7.4999999999999997E-2</v>
      </c>
      <c r="H165">
        <v>19</v>
      </c>
      <c r="I165">
        <v>93.8</v>
      </c>
      <c r="J165">
        <v>0.54</v>
      </c>
      <c r="K165">
        <v>0</v>
      </c>
      <c r="L165">
        <v>4.3</v>
      </c>
      <c r="M165">
        <v>692008.64</v>
      </c>
      <c r="N165">
        <v>116337.87</v>
      </c>
      <c r="O165">
        <f t="shared" si="12"/>
        <v>0</v>
      </c>
      <c r="P165">
        <f t="shared" si="13"/>
        <v>1</v>
      </c>
      <c r="Q165">
        <f t="shared" si="14"/>
        <v>0</v>
      </c>
      <c r="R165">
        <f t="shared" si="15"/>
        <v>0</v>
      </c>
      <c r="S165">
        <f t="shared" si="16"/>
        <v>1</v>
      </c>
      <c r="T165">
        <f t="shared" si="17"/>
        <v>0</v>
      </c>
    </row>
    <row r="166" spans="1:20">
      <c r="A166" t="s">
        <v>63</v>
      </c>
      <c r="B166" s="2">
        <v>45658</v>
      </c>
      <c r="C166" t="s">
        <v>20</v>
      </c>
      <c r="D166" t="s">
        <v>28</v>
      </c>
      <c r="E166">
        <v>72150.53</v>
      </c>
      <c r="F166">
        <v>9323</v>
      </c>
      <c r="G166">
        <v>0.157</v>
      </c>
      <c r="H166">
        <v>22</v>
      </c>
      <c r="I166">
        <v>82.9</v>
      </c>
      <c r="J166">
        <v>11.37</v>
      </c>
      <c r="K166">
        <v>1</v>
      </c>
      <c r="L166">
        <v>4.3</v>
      </c>
      <c r="M166">
        <v>825797.91</v>
      </c>
      <c r="N166">
        <v>130945.24</v>
      </c>
      <c r="O166">
        <f t="shared" si="12"/>
        <v>1</v>
      </c>
      <c r="P166">
        <f t="shared" si="13"/>
        <v>0</v>
      </c>
      <c r="Q166">
        <f t="shared" si="14"/>
        <v>0</v>
      </c>
      <c r="R166">
        <f t="shared" si="15"/>
        <v>0</v>
      </c>
      <c r="S166">
        <f t="shared" si="16"/>
        <v>0</v>
      </c>
      <c r="T166">
        <f t="shared" si="17"/>
        <v>1</v>
      </c>
    </row>
    <row r="167" spans="1:20">
      <c r="A167" t="s">
        <v>63</v>
      </c>
      <c r="B167" s="2">
        <v>45689</v>
      </c>
      <c r="C167" t="s">
        <v>20</v>
      </c>
      <c r="D167" t="s">
        <v>28</v>
      </c>
      <c r="E167">
        <v>35303.300000000003</v>
      </c>
      <c r="F167">
        <v>8789</v>
      </c>
      <c r="G167">
        <v>0.123</v>
      </c>
      <c r="H167">
        <v>22</v>
      </c>
      <c r="I167">
        <v>86.1</v>
      </c>
      <c r="J167">
        <v>9.43</v>
      </c>
      <c r="K167">
        <v>0</v>
      </c>
      <c r="L167">
        <v>4.2</v>
      </c>
      <c r="M167">
        <v>706285.52</v>
      </c>
      <c r="N167">
        <v>138014.72</v>
      </c>
      <c r="O167">
        <f t="shared" si="12"/>
        <v>1</v>
      </c>
      <c r="P167">
        <f t="shared" si="13"/>
        <v>0</v>
      </c>
      <c r="Q167">
        <f t="shared" si="14"/>
        <v>0</v>
      </c>
      <c r="R167">
        <f t="shared" si="15"/>
        <v>0</v>
      </c>
      <c r="S167">
        <f t="shared" si="16"/>
        <v>0</v>
      </c>
      <c r="T167">
        <f t="shared" si="17"/>
        <v>1</v>
      </c>
    </row>
    <row r="168" spans="1:20">
      <c r="A168" t="s">
        <v>63</v>
      </c>
      <c r="B168" s="2">
        <v>45717</v>
      </c>
      <c r="C168" t="s">
        <v>20</v>
      </c>
      <c r="D168" t="s">
        <v>28</v>
      </c>
      <c r="E168">
        <v>30301.86</v>
      </c>
      <c r="F168">
        <v>6939</v>
      </c>
      <c r="G168">
        <v>0.09</v>
      </c>
      <c r="H168">
        <v>16</v>
      </c>
      <c r="I168">
        <v>90.3</v>
      </c>
      <c r="J168">
        <v>3.49</v>
      </c>
      <c r="K168">
        <v>0</v>
      </c>
      <c r="L168">
        <v>4</v>
      </c>
      <c r="M168">
        <v>665534.69999999995</v>
      </c>
      <c r="N168">
        <v>113167.73</v>
      </c>
      <c r="O168">
        <f t="shared" si="12"/>
        <v>1</v>
      </c>
      <c r="P168">
        <f t="shared" si="13"/>
        <v>0</v>
      </c>
      <c r="Q168">
        <f t="shared" si="14"/>
        <v>0</v>
      </c>
      <c r="R168">
        <f t="shared" si="15"/>
        <v>0</v>
      </c>
      <c r="S168">
        <f t="shared" si="16"/>
        <v>0</v>
      </c>
      <c r="T168">
        <f t="shared" si="17"/>
        <v>1</v>
      </c>
    </row>
    <row r="169" spans="1:20">
      <c r="A169" t="s">
        <v>63</v>
      </c>
      <c r="B169" s="2">
        <v>45748</v>
      </c>
      <c r="C169" t="s">
        <v>20</v>
      </c>
      <c r="D169" t="s">
        <v>28</v>
      </c>
      <c r="E169">
        <v>78432.14</v>
      </c>
      <c r="F169">
        <v>9440</v>
      </c>
      <c r="G169">
        <v>0.126</v>
      </c>
      <c r="H169">
        <v>23</v>
      </c>
      <c r="I169">
        <v>89.2</v>
      </c>
      <c r="J169">
        <v>7.86</v>
      </c>
      <c r="K169">
        <v>0</v>
      </c>
      <c r="L169">
        <v>4.0999999999999996</v>
      </c>
      <c r="M169">
        <v>820729.29</v>
      </c>
      <c r="N169">
        <v>159325.47</v>
      </c>
      <c r="O169">
        <f t="shared" si="12"/>
        <v>1</v>
      </c>
      <c r="P169">
        <f t="shared" si="13"/>
        <v>0</v>
      </c>
      <c r="Q169">
        <f t="shared" si="14"/>
        <v>0</v>
      </c>
      <c r="R169">
        <f t="shared" si="15"/>
        <v>0</v>
      </c>
      <c r="S169">
        <f t="shared" si="16"/>
        <v>0</v>
      </c>
      <c r="T169">
        <f t="shared" si="17"/>
        <v>1</v>
      </c>
    </row>
    <row r="170" spans="1:20">
      <c r="A170" t="s">
        <v>64</v>
      </c>
      <c r="B170" s="2">
        <v>45658</v>
      </c>
      <c r="C170" t="s">
        <v>15</v>
      </c>
      <c r="D170" t="s">
        <v>16</v>
      </c>
      <c r="E170">
        <v>62059.18</v>
      </c>
      <c r="F170">
        <v>9374</v>
      </c>
      <c r="G170">
        <v>0.13600000000000001</v>
      </c>
      <c r="H170">
        <v>25</v>
      </c>
      <c r="I170">
        <v>87.1</v>
      </c>
      <c r="J170">
        <v>12.55</v>
      </c>
      <c r="K170">
        <v>0</v>
      </c>
      <c r="L170">
        <v>4.9000000000000004</v>
      </c>
      <c r="M170">
        <v>739831.73</v>
      </c>
      <c r="N170">
        <v>119490.21</v>
      </c>
      <c r="O170">
        <f t="shared" si="12"/>
        <v>0</v>
      </c>
      <c r="P170">
        <f t="shared" si="13"/>
        <v>0</v>
      </c>
      <c r="Q170">
        <f t="shared" si="14"/>
        <v>0</v>
      </c>
      <c r="R170">
        <f t="shared" si="15"/>
        <v>0</v>
      </c>
      <c r="S170">
        <f t="shared" si="16"/>
        <v>0</v>
      </c>
      <c r="T170">
        <f t="shared" si="17"/>
        <v>0</v>
      </c>
    </row>
    <row r="171" spans="1:20">
      <c r="A171" t="s">
        <v>64</v>
      </c>
      <c r="B171" s="2">
        <v>45689</v>
      </c>
      <c r="C171" t="s">
        <v>15</v>
      </c>
      <c r="D171" t="s">
        <v>16</v>
      </c>
      <c r="E171">
        <v>32834.480000000003</v>
      </c>
      <c r="F171">
        <v>7576</v>
      </c>
      <c r="G171">
        <v>9.9000000000000005E-2</v>
      </c>
      <c r="H171">
        <v>15</v>
      </c>
      <c r="I171">
        <v>84.1</v>
      </c>
      <c r="J171">
        <v>3.48</v>
      </c>
      <c r="K171">
        <v>0</v>
      </c>
      <c r="L171">
        <v>5</v>
      </c>
      <c r="M171">
        <v>593637.14</v>
      </c>
      <c r="N171">
        <v>106648.14</v>
      </c>
      <c r="O171">
        <f t="shared" si="12"/>
        <v>0</v>
      </c>
      <c r="P171">
        <f t="shared" si="13"/>
        <v>0</v>
      </c>
      <c r="Q171">
        <f t="shared" si="14"/>
        <v>0</v>
      </c>
      <c r="R171">
        <f t="shared" si="15"/>
        <v>0</v>
      </c>
      <c r="S171">
        <f t="shared" si="16"/>
        <v>0</v>
      </c>
      <c r="T171">
        <f t="shared" si="17"/>
        <v>0</v>
      </c>
    </row>
    <row r="172" spans="1:20">
      <c r="A172" t="s">
        <v>64</v>
      </c>
      <c r="B172" s="2">
        <v>45717</v>
      </c>
      <c r="C172" t="s">
        <v>15</v>
      </c>
      <c r="D172" t="s">
        <v>16</v>
      </c>
      <c r="E172">
        <v>50825.08</v>
      </c>
      <c r="F172">
        <v>8949</v>
      </c>
      <c r="G172">
        <v>0.157</v>
      </c>
      <c r="H172">
        <v>21</v>
      </c>
      <c r="I172">
        <v>84.7</v>
      </c>
      <c r="J172">
        <v>7.73</v>
      </c>
      <c r="K172">
        <v>0</v>
      </c>
      <c r="L172">
        <v>4.9000000000000004</v>
      </c>
      <c r="M172">
        <v>769702.76</v>
      </c>
      <c r="N172">
        <v>158697</v>
      </c>
      <c r="O172">
        <f t="shared" si="12"/>
        <v>0</v>
      </c>
      <c r="P172">
        <f t="shared" si="13"/>
        <v>0</v>
      </c>
      <c r="Q172">
        <f t="shared" si="14"/>
        <v>0</v>
      </c>
      <c r="R172">
        <f t="shared" si="15"/>
        <v>0</v>
      </c>
      <c r="S172">
        <f t="shared" si="16"/>
        <v>0</v>
      </c>
      <c r="T172">
        <f t="shared" si="17"/>
        <v>0</v>
      </c>
    </row>
    <row r="173" spans="1:20">
      <c r="A173" t="s">
        <v>64</v>
      </c>
      <c r="B173" s="2">
        <v>45748</v>
      </c>
      <c r="C173" t="s">
        <v>15</v>
      </c>
      <c r="D173" t="s">
        <v>16</v>
      </c>
      <c r="E173">
        <v>36606.51</v>
      </c>
      <c r="F173">
        <v>7671</v>
      </c>
      <c r="G173">
        <v>0.11799999999999999</v>
      </c>
      <c r="H173">
        <v>18</v>
      </c>
      <c r="I173">
        <v>89.8</v>
      </c>
      <c r="J173">
        <v>0.25</v>
      </c>
      <c r="K173">
        <v>0</v>
      </c>
      <c r="L173">
        <v>4.4000000000000004</v>
      </c>
      <c r="M173">
        <v>679731.57</v>
      </c>
      <c r="N173">
        <v>121546.42</v>
      </c>
      <c r="O173">
        <f t="shared" si="12"/>
        <v>0</v>
      </c>
      <c r="P173">
        <f t="shared" si="13"/>
        <v>0</v>
      </c>
      <c r="Q173">
        <f t="shared" si="14"/>
        <v>0</v>
      </c>
      <c r="R173">
        <f t="shared" si="15"/>
        <v>0</v>
      </c>
      <c r="S173">
        <f t="shared" si="16"/>
        <v>0</v>
      </c>
      <c r="T173">
        <f t="shared" si="17"/>
        <v>0</v>
      </c>
    </row>
    <row r="174" spans="1:20">
      <c r="A174" t="s">
        <v>65</v>
      </c>
      <c r="B174" s="2">
        <v>45658</v>
      </c>
      <c r="C174" t="s">
        <v>15</v>
      </c>
      <c r="D174" t="s">
        <v>16</v>
      </c>
      <c r="E174">
        <v>65237.79</v>
      </c>
      <c r="F174">
        <v>8741</v>
      </c>
      <c r="G174">
        <v>0.157</v>
      </c>
      <c r="H174">
        <v>20</v>
      </c>
      <c r="I174">
        <v>94.4</v>
      </c>
      <c r="J174">
        <v>6.43</v>
      </c>
      <c r="K174">
        <v>0</v>
      </c>
      <c r="L174">
        <v>3.3</v>
      </c>
      <c r="M174">
        <v>780344.18</v>
      </c>
      <c r="N174">
        <v>118239.09</v>
      </c>
      <c r="O174">
        <f t="shared" si="12"/>
        <v>0</v>
      </c>
      <c r="P174">
        <f t="shared" si="13"/>
        <v>0</v>
      </c>
      <c r="Q174">
        <f t="shared" si="14"/>
        <v>0</v>
      </c>
      <c r="R174">
        <f t="shared" si="15"/>
        <v>0</v>
      </c>
      <c r="S174">
        <f t="shared" si="16"/>
        <v>0</v>
      </c>
      <c r="T174">
        <f t="shared" si="17"/>
        <v>0</v>
      </c>
    </row>
    <row r="175" spans="1:20">
      <c r="A175" t="s">
        <v>65</v>
      </c>
      <c r="B175" s="2">
        <v>45689</v>
      </c>
      <c r="C175" t="s">
        <v>15</v>
      </c>
      <c r="D175" t="s">
        <v>16</v>
      </c>
      <c r="E175">
        <v>43645.98</v>
      </c>
      <c r="F175">
        <v>9480</v>
      </c>
      <c r="G175">
        <v>0.109</v>
      </c>
      <c r="H175">
        <v>22</v>
      </c>
      <c r="I175">
        <v>89</v>
      </c>
      <c r="J175">
        <v>2.11</v>
      </c>
      <c r="K175">
        <v>0</v>
      </c>
      <c r="L175">
        <v>3.1</v>
      </c>
      <c r="M175">
        <v>721364.11</v>
      </c>
      <c r="N175">
        <v>147272.81</v>
      </c>
      <c r="O175">
        <f t="shared" si="12"/>
        <v>0</v>
      </c>
      <c r="P175">
        <f t="shared" si="13"/>
        <v>0</v>
      </c>
      <c r="Q175">
        <f t="shared" si="14"/>
        <v>0</v>
      </c>
      <c r="R175">
        <f t="shared" si="15"/>
        <v>0</v>
      </c>
      <c r="S175">
        <f t="shared" si="16"/>
        <v>0</v>
      </c>
      <c r="T175">
        <f t="shared" si="17"/>
        <v>0</v>
      </c>
    </row>
    <row r="176" spans="1:20">
      <c r="A176" t="s">
        <v>65</v>
      </c>
      <c r="B176" s="2">
        <v>45717</v>
      </c>
      <c r="C176" t="s">
        <v>15</v>
      </c>
      <c r="D176" t="s">
        <v>16</v>
      </c>
      <c r="E176">
        <v>68040.149999999994</v>
      </c>
      <c r="F176">
        <v>9826</v>
      </c>
      <c r="G176">
        <v>0.125</v>
      </c>
      <c r="H176">
        <v>20</v>
      </c>
      <c r="I176">
        <v>83.9</v>
      </c>
      <c r="J176">
        <v>9.1199999999999992</v>
      </c>
      <c r="K176">
        <v>0</v>
      </c>
      <c r="L176">
        <v>3.6</v>
      </c>
      <c r="M176">
        <v>758138.29</v>
      </c>
      <c r="N176">
        <v>132975.26</v>
      </c>
      <c r="O176">
        <f t="shared" si="12"/>
        <v>0</v>
      </c>
      <c r="P176">
        <f t="shared" si="13"/>
        <v>0</v>
      </c>
      <c r="Q176">
        <f t="shared" si="14"/>
        <v>0</v>
      </c>
      <c r="R176">
        <f t="shared" si="15"/>
        <v>0</v>
      </c>
      <c r="S176">
        <f t="shared" si="16"/>
        <v>0</v>
      </c>
      <c r="T176">
        <f t="shared" si="17"/>
        <v>0</v>
      </c>
    </row>
    <row r="177" spans="1:20">
      <c r="A177" t="s">
        <v>65</v>
      </c>
      <c r="B177" s="2">
        <v>45748</v>
      </c>
      <c r="C177" t="s">
        <v>15</v>
      </c>
      <c r="D177" t="s">
        <v>16</v>
      </c>
      <c r="E177">
        <v>63043.94</v>
      </c>
      <c r="F177">
        <v>10402</v>
      </c>
      <c r="G177">
        <v>0.159</v>
      </c>
      <c r="H177">
        <v>23</v>
      </c>
      <c r="I177">
        <v>93.9</v>
      </c>
      <c r="J177">
        <v>2.71</v>
      </c>
      <c r="K177">
        <v>0</v>
      </c>
      <c r="L177">
        <v>3.1</v>
      </c>
      <c r="M177">
        <v>804264</v>
      </c>
      <c r="N177">
        <v>167117.91</v>
      </c>
      <c r="O177">
        <f t="shared" si="12"/>
        <v>0</v>
      </c>
      <c r="P177">
        <f t="shared" si="13"/>
        <v>0</v>
      </c>
      <c r="Q177">
        <f t="shared" si="14"/>
        <v>0</v>
      </c>
      <c r="R177">
        <f t="shared" si="15"/>
        <v>0</v>
      </c>
      <c r="S177">
        <f t="shared" si="16"/>
        <v>0</v>
      </c>
      <c r="T177">
        <f t="shared" si="17"/>
        <v>0</v>
      </c>
    </row>
    <row r="178" spans="1:20">
      <c r="A178" t="s">
        <v>66</v>
      </c>
      <c r="B178" s="2">
        <v>45658</v>
      </c>
      <c r="C178" t="s">
        <v>27</v>
      </c>
      <c r="D178" t="s">
        <v>21</v>
      </c>
      <c r="E178">
        <v>67494.09</v>
      </c>
      <c r="F178">
        <v>12361</v>
      </c>
      <c r="G178">
        <v>4.5999999999999999E-2</v>
      </c>
      <c r="H178">
        <v>24</v>
      </c>
      <c r="I178">
        <v>76.599999999999994</v>
      </c>
      <c r="J178">
        <v>3.65</v>
      </c>
      <c r="K178">
        <v>1</v>
      </c>
      <c r="L178">
        <v>3.7</v>
      </c>
      <c r="M178">
        <v>887537.75</v>
      </c>
      <c r="N178">
        <v>160362.92000000001</v>
      </c>
      <c r="O178">
        <f t="shared" si="12"/>
        <v>0</v>
      </c>
      <c r="P178">
        <f t="shared" si="13"/>
        <v>0</v>
      </c>
      <c r="Q178">
        <f t="shared" si="14"/>
        <v>1</v>
      </c>
      <c r="R178">
        <f t="shared" si="15"/>
        <v>1</v>
      </c>
      <c r="S178">
        <f t="shared" si="16"/>
        <v>0</v>
      </c>
      <c r="T178">
        <f t="shared" si="17"/>
        <v>0</v>
      </c>
    </row>
    <row r="179" spans="1:20">
      <c r="A179" t="s">
        <v>66</v>
      </c>
      <c r="B179" s="2">
        <v>45689</v>
      </c>
      <c r="C179" t="s">
        <v>27</v>
      </c>
      <c r="D179" t="s">
        <v>21</v>
      </c>
      <c r="E179">
        <v>29389.32</v>
      </c>
      <c r="F179">
        <v>7925</v>
      </c>
      <c r="G179">
        <v>0.17699999999999999</v>
      </c>
      <c r="H179">
        <v>21</v>
      </c>
      <c r="I179">
        <v>90.9</v>
      </c>
      <c r="J179">
        <v>7.86</v>
      </c>
      <c r="K179">
        <v>0</v>
      </c>
      <c r="L179">
        <v>4</v>
      </c>
      <c r="M179">
        <v>783582</v>
      </c>
      <c r="N179">
        <v>130670.93</v>
      </c>
      <c r="O179">
        <f t="shared" si="12"/>
        <v>0</v>
      </c>
      <c r="P179">
        <f t="shared" si="13"/>
        <v>0</v>
      </c>
      <c r="Q179">
        <f t="shared" si="14"/>
        <v>1</v>
      </c>
      <c r="R179">
        <f t="shared" si="15"/>
        <v>1</v>
      </c>
      <c r="S179">
        <f t="shared" si="16"/>
        <v>0</v>
      </c>
      <c r="T179">
        <f t="shared" si="17"/>
        <v>0</v>
      </c>
    </row>
    <row r="180" spans="1:20">
      <c r="A180" t="s">
        <v>66</v>
      </c>
      <c r="B180" s="2">
        <v>45717</v>
      </c>
      <c r="C180" t="s">
        <v>27</v>
      </c>
      <c r="D180" t="s">
        <v>21</v>
      </c>
      <c r="E180">
        <v>40535.089999999997</v>
      </c>
      <c r="F180">
        <v>8870</v>
      </c>
      <c r="G180">
        <v>4.1000000000000002E-2</v>
      </c>
      <c r="H180">
        <v>21</v>
      </c>
      <c r="I180">
        <v>86.6</v>
      </c>
      <c r="J180">
        <v>0.3</v>
      </c>
      <c r="K180">
        <v>0</v>
      </c>
      <c r="L180">
        <v>4.0999999999999996</v>
      </c>
      <c r="M180">
        <v>781955.52</v>
      </c>
      <c r="N180">
        <v>152578.71</v>
      </c>
      <c r="O180">
        <f t="shared" si="12"/>
        <v>0</v>
      </c>
      <c r="P180">
        <f t="shared" si="13"/>
        <v>0</v>
      </c>
      <c r="Q180">
        <f t="shared" si="14"/>
        <v>1</v>
      </c>
      <c r="R180">
        <f t="shared" si="15"/>
        <v>1</v>
      </c>
      <c r="S180">
        <f t="shared" si="16"/>
        <v>0</v>
      </c>
      <c r="T180">
        <f t="shared" si="17"/>
        <v>0</v>
      </c>
    </row>
    <row r="181" spans="1:20">
      <c r="A181" t="s">
        <v>66</v>
      </c>
      <c r="B181" s="2">
        <v>45748</v>
      </c>
      <c r="C181" t="s">
        <v>27</v>
      </c>
      <c r="D181" t="s">
        <v>21</v>
      </c>
      <c r="E181">
        <v>74881.56</v>
      </c>
      <c r="F181">
        <v>9999</v>
      </c>
      <c r="G181">
        <v>1.2999999999999999E-2</v>
      </c>
      <c r="H181">
        <v>20</v>
      </c>
      <c r="I181">
        <v>89.6</v>
      </c>
      <c r="J181">
        <v>8.44</v>
      </c>
      <c r="K181">
        <v>0</v>
      </c>
      <c r="L181">
        <v>4.0999999999999996</v>
      </c>
      <c r="M181">
        <v>898031.04</v>
      </c>
      <c r="N181">
        <v>138666.5</v>
      </c>
      <c r="O181">
        <f t="shared" si="12"/>
        <v>0</v>
      </c>
      <c r="P181">
        <f t="shared" si="13"/>
        <v>0</v>
      </c>
      <c r="Q181">
        <f t="shared" si="14"/>
        <v>1</v>
      </c>
      <c r="R181">
        <f t="shared" si="15"/>
        <v>1</v>
      </c>
      <c r="S181">
        <f t="shared" si="16"/>
        <v>0</v>
      </c>
      <c r="T181">
        <f t="shared" si="17"/>
        <v>0</v>
      </c>
    </row>
    <row r="182" spans="1:20">
      <c r="A182" t="s">
        <v>67</v>
      </c>
      <c r="B182" s="2">
        <v>45658</v>
      </c>
      <c r="C182" t="s">
        <v>27</v>
      </c>
      <c r="D182" t="s">
        <v>16</v>
      </c>
      <c r="E182">
        <v>68491.11</v>
      </c>
      <c r="F182">
        <v>11154</v>
      </c>
      <c r="G182">
        <v>1E-3</v>
      </c>
      <c r="H182">
        <v>24</v>
      </c>
      <c r="I182">
        <v>89.4</v>
      </c>
      <c r="J182">
        <v>5.27</v>
      </c>
      <c r="K182">
        <v>1</v>
      </c>
      <c r="L182">
        <v>3.9</v>
      </c>
      <c r="M182">
        <v>855341.28</v>
      </c>
      <c r="N182">
        <v>175823.8</v>
      </c>
      <c r="O182">
        <f t="shared" si="12"/>
        <v>0</v>
      </c>
      <c r="P182">
        <f t="shared" si="13"/>
        <v>0</v>
      </c>
      <c r="Q182">
        <f t="shared" si="14"/>
        <v>1</v>
      </c>
      <c r="R182">
        <f t="shared" si="15"/>
        <v>0</v>
      </c>
      <c r="S182">
        <f t="shared" si="16"/>
        <v>0</v>
      </c>
      <c r="T182">
        <f t="shared" si="17"/>
        <v>0</v>
      </c>
    </row>
    <row r="183" spans="1:20">
      <c r="A183" t="s">
        <v>67</v>
      </c>
      <c r="B183" s="2">
        <v>45689</v>
      </c>
      <c r="C183" t="s">
        <v>27</v>
      </c>
      <c r="D183" t="s">
        <v>16</v>
      </c>
      <c r="E183">
        <v>45209.25</v>
      </c>
      <c r="F183">
        <v>9287</v>
      </c>
      <c r="G183">
        <v>0.14099999999999999</v>
      </c>
      <c r="H183">
        <v>22</v>
      </c>
      <c r="I183">
        <v>86.4</v>
      </c>
      <c r="J183">
        <v>13.22</v>
      </c>
      <c r="K183">
        <v>0</v>
      </c>
      <c r="L183">
        <v>3.6</v>
      </c>
      <c r="M183">
        <v>751393.88</v>
      </c>
      <c r="N183">
        <v>91480.320000000007</v>
      </c>
      <c r="O183">
        <f t="shared" si="12"/>
        <v>0</v>
      </c>
      <c r="P183">
        <f t="shared" si="13"/>
        <v>0</v>
      </c>
      <c r="Q183">
        <f t="shared" si="14"/>
        <v>1</v>
      </c>
      <c r="R183">
        <f t="shared" si="15"/>
        <v>0</v>
      </c>
      <c r="S183">
        <f t="shared" si="16"/>
        <v>0</v>
      </c>
      <c r="T183">
        <f t="shared" si="17"/>
        <v>0</v>
      </c>
    </row>
    <row r="184" spans="1:20">
      <c r="A184" t="s">
        <v>67</v>
      </c>
      <c r="B184" s="2">
        <v>45717</v>
      </c>
      <c r="C184" t="s">
        <v>27</v>
      </c>
      <c r="D184" t="s">
        <v>16</v>
      </c>
      <c r="E184">
        <v>63010.23</v>
      </c>
      <c r="F184">
        <v>9812</v>
      </c>
      <c r="G184">
        <v>0.113</v>
      </c>
      <c r="H184">
        <v>24</v>
      </c>
      <c r="I184">
        <v>76.8</v>
      </c>
      <c r="J184">
        <v>1.02</v>
      </c>
      <c r="K184">
        <v>1</v>
      </c>
      <c r="L184">
        <v>3.8</v>
      </c>
      <c r="M184">
        <v>761077.08</v>
      </c>
      <c r="N184">
        <v>113605.93</v>
      </c>
      <c r="O184">
        <f t="shared" si="12"/>
        <v>0</v>
      </c>
      <c r="P184">
        <f t="shared" si="13"/>
        <v>0</v>
      </c>
      <c r="Q184">
        <f t="shared" si="14"/>
        <v>1</v>
      </c>
      <c r="R184">
        <f t="shared" si="15"/>
        <v>0</v>
      </c>
      <c r="S184">
        <f t="shared" si="16"/>
        <v>0</v>
      </c>
      <c r="T184">
        <f t="shared" si="17"/>
        <v>0</v>
      </c>
    </row>
    <row r="185" spans="1:20">
      <c r="A185" t="s">
        <v>67</v>
      </c>
      <c r="B185" s="2">
        <v>45748</v>
      </c>
      <c r="C185" t="s">
        <v>27</v>
      </c>
      <c r="D185" t="s">
        <v>16</v>
      </c>
      <c r="E185">
        <v>57948.88</v>
      </c>
      <c r="F185">
        <v>10741</v>
      </c>
      <c r="G185">
        <v>7.0000000000000007E-2</v>
      </c>
      <c r="H185">
        <v>25</v>
      </c>
      <c r="I185">
        <v>90.1</v>
      </c>
      <c r="J185">
        <v>4.03</v>
      </c>
      <c r="K185">
        <v>0</v>
      </c>
      <c r="L185">
        <v>3.1</v>
      </c>
      <c r="M185">
        <v>819660.59</v>
      </c>
      <c r="N185">
        <v>172699.95</v>
      </c>
      <c r="O185">
        <f t="shared" si="12"/>
        <v>0</v>
      </c>
      <c r="P185">
        <f t="shared" si="13"/>
        <v>0</v>
      </c>
      <c r="Q185">
        <f t="shared" si="14"/>
        <v>1</v>
      </c>
      <c r="R185">
        <f t="shared" si="15"/>
        <v>0</v>
      </c>
      <c r="S185">
        <f t="shared" si="16"/>
        <v>0</v>
      </c>
      <c r="T185">
        <f t="shared" si="17"/>
        <v>0</v>
      </c>
    </row>
    <row r="186" spans="1:20">
      <c r="A186" t="s">
        <v>68</v>
      </c>
      <c r="B186" s="2">
        <v>45658</v>
      </c>
      <c r="C186" t="s">
        <v>20</v>
      </c>
      <c r="D186" t="s">
        <v>18</v>
      </c>
      <c r="E186">
        <v>71941.62</v>
      </c>
      <c r="F186">
        <v>6084</v>
      </c>
      <c r="G186">
        <v>7.1999999999999995E-2</v>
      </c>
      <c r="H186">
        <v>13</v>
      </c>
      <c r="I186">
        <v>93.7</v>
      </c>
      <c r="J186">
        <v>2.34</v>
      </c>
      <c r="K186">
        <v>0</v>
      </c>
      <c r="L186">
        <v>4.4000000000000004</v>
      </c>
      <c r="M186">
        <v>681855.56</v>
      </c>
      <c r="N186">
        <v>117645.61</v>
      </c>
      <c r="O186">
        <f t="shared" si="12"/>
        <v>1</v>
      </c>
      <c r="P186">
        <f t="shared" si="13"/>
        <v>0</v>
      </c>
      <c r="Q186">
        <f t="shared" si="14"/>
        <v>0</v>
      </c>
      <c r="R186">
        <f t="shared" si="15"/>
        <v>0</v>
      </c>
      <c r="S186">
        <f t="shared" si="16"/>
        <v>1</v>
      </c>
      <c r="T186">
        <f t="shared" si="17"/>
        <v>0</v>
      </c>
    </row>
    <row r="187" spans="1:20">
      <c r="A187" t="s">
        <v>68</v>
      </c>
      <c r="B187" s="2">
        <v>45689</v>
      </c>
      <c r="C187" t="s">
        <v>20</v>
      </c>
      <c r="D187" t="s">
        <v>18</v>
      </c>
      <c r="E187">
        <v>57147.88</v>
      </c>
      <c r="F187">
        <v>5252</v>
      </c>
      <c r="G187">
        <v>0.161</v>
      </c>
      <c r="H187">
        <v>15</v>
      </c>
      <c r="I187">
        <v>95.5</v>
      </c>
      <c r="J187">
        <v>8.51</v>
      </c>
      <c r="K187">
        <v>0</v>
      </c>
      <c r="L187">
        <v>4.4000000000000004</v>
      </c>
      <c r="M187">
        <v>678311.17</v>
      </c>
      <c r="N187">
        <v>132029.76000000001</v>
      </c>
      <c r="O187">
        <f t="shared" si="12"/>
        <v>1</v>
      </c>
      <c r="P187">
        <f t="shared" si="13"/>
        <v>0</v>
      </c>
      <c r="Q187">
        <f t="shared" si="14"/>
        <v>0</v>
      </c>
      <c r="R187">
        <f t="shared" si="15"/>
        <v>0</v>
      </c>
      <c r="S187">
        <f t="shared" si="16"/>
        <v>1</v>
      </c>
      <c r="T187">
        <f t="shared" si="17"/>
        <v>0</v>
      </c>
    </row>
    <row r="188" spans="1:20">
      <c r="A188" t="s">
        <v>68</v>
      </c>
      <c r="B188" s="2">
        <v>45717</v>
      </c>
      <c r="C188" t="s">
        <v>20</v>
      </c>
      <c r="D188" t="s">
        <v>18</v>
      </c>
      <c r="E188">
        <v>48031.74</v>
      </c>
      <c r="F188">
        <v>6516</v>
      </c>
      <c r="G188">
        <v>6.7000000000000004E-2</v>
      </c>
      <c r="H188">
        <v>14</v>
      </c>
      <c r="I188">
        <v>99</v>
      </c>
      <c r="J188">
        <v>0.48</v>
      </c>
      <c r="K188">
        <v>1</v>
      </c>
      <c r="L188">
        <v>4.3</v>
      </c>
      <c r="M188">
        <v>765906.95</v>
      </c>
      <c r="N188">
        <v>114005.9</v>
      </c>
      <c r="O188">
        <f t="shared" si="12"/>
        <v>1</v>
      </c>
      <c r="P188">
        <f t="shared" si="13"/>
        <v>0</v>
      </c>
      <c r="Q188">
        <f t="shared" si="14"/>
        <v>0</v>
      </c>
      <c r="R188">
        <f t="shared" si="15"/>
        <v>0</v>
      </c>
      <c r="S188">
        <f t="shared" si="16"/>
        <v>1</v>
      </c>
      <c r="T188">
        <f t="shared" si="17"/>
        <v>0</v>
      </c>
    </row>
    <row r="189" spans="1:20">
      <c r="A189" t="s">
        <v>68</v>
      </c>
      <c r="B189" s="2">
        <v>45748</v>
      </c>
      <c r="C189" t="s">
        <v>20</v>
      </c>
      <c r="D189" t="s">
        <v>18</v>
      </c>
      <c r="E189">
        <v>72784.800000000003</v>
      </c>
      <c r="F189">
        <v>7932</v>
      </c>
      <c r="G189">
        <v>9.4E-2</v>
      </c>
      <c r="H189">
        <v>20</v>
      </c>
      <c r="I189">
        <v>74.900000000000006</v>
      </c>
      <c r="J189">
        <v>13.62</v>
      </c>
      <c r="K189">
        <v>0</v>
      </c>
      <c r="L189">
        <v>4.2</v>
      </c>
      <c r="M189">
        <v>712546.38</v>
      </c>
      <c r="N189">
        <v>101480.04</v>
      </c>
      <c r="O189">
        <f t="shared" si="12"/>
        <v>1</v>
      </c>
      <c r="P189">
        <f t="shared" si="13"/>
        <v>0</v>
      </c>
      <c r="Q189">
        <f t="shared" si="14"/>
        <v>0</v>
      </c>
      <c r="R189">
        <f t="shared" si="15"/>
        <v>0</v>
      </c>
      <c r="S189">
        <f t="shared" si="16"/>
        <v>1</v>
      </c>
      <c r="T189">
        <f t="shared" si="17"/>
        <v>0</v>
      </c>
    </row>
    <row r="190" spans="1:20">
      <c r="A190" t="s">
        <v>69</v>
      </c>
      <c r="B190" s="2">
        <v>45658</v>
      </c>
      <c r="C190" t="s">
        <v>15</v>
      </c>
      <c r="D190" t="s">
        <v>18</v>
      </c>
      <c r="E190">
        <v>71641.899999999994</v>
      </c>
      <c r="F190">
        <v>3506</v>
      </c>
      <c r="G190">
        <v>0</v>
      </c>
      <c r="H190">
        <v>11</v>
      </c>
      <c r="I190">
        <v>86.4</v>
      </c>
      <c r="J190">
        <v>7.77</v>
      </c>
      <c r="K190">
        <v>0</v>
      </c>
      <c r="L190">
        <v>4.0999999999999996</v>
      </c>
      <c r="M190">
        <v>625993.82999999996</v>
      </c>
      <c r="N190">
        <v>98960.320000000007</v>
      </c>
      <c r="O190">
        <f t="shared" si="12"/>
        <v>0</v>
      </c>
      <c r="P190">
        <f t="shared" si="13"/>
        <v>0</v>
      </c>
      <c r="Q190">
        <f t="shared" si="14"/>
        <v>0</v>
      </c>
      <c r="R190">
        <f t="shared" si="15"/>
        <v>0</v>
      </c>
      <c r="S190">
        <f t="shared" si="16"/>
        <v>1</v>
      </c>
      <c r="T190">
        <f t="shared" si="17"/>
        <v>0</v>
      </c>
    </row>
    <row r="191" spans="1:20">
      <c r="A191" t="s">
        <v>69</v>
      </c>
      <c r="B191" s="2">
        <v>45689</v>
      </c>
      <c r="C191" t="s">
        <v>15</v>
      </c>
      <c r="D191" t="s">
        <v>18</v>
      </c>
      <c r="E191">
        <v>55788.61</v>
      </c>
      <c r="F191">
        <v>2312</v>
      </c>
      <c r="G191">
        <v>5.8000000000000003E-2</v>
      </c>
      <c r="H191">
        <v>10</v>
      </c>
      <c r="I191">
        <v>91.3</v>
      </c>
      <c r="J191">
        <v>1.99</v>
      </c>
      <c r="K191">
        <v>0</v>
      </c>
      <c r="L191">
        <v>3.8</v>
      </c>
      <c r="M191">
        <v>550962.93000000005</v>
      </c>
      <c r="N191">
        <v>97144.58</v>
      </c>
      <c r="O191">
        <f t="shared" si="12"/>
        <v>0</v>
      </c>
      <c r="P191">
        <f t="shared" si="13"/>
        <v>0</v>
      </c>
      <c r="Q191">
        <f t="shared" si="14"/>
        <v>0</v>
      </c>
      <c r="R191">
        <f t="shared" si="15"/>
        <v>0</v>
      </c>
      <c r="S191">
        <f t="shared" si="16"/>
        <v>1</v>
      </c>
      <c r="T191">
        <f t="shared" si="17"/>
        <v>0</v>
      </c>
    </row>
    <row r="192" spans="1:20">
      <c r="A192" t="s">
        <v>69</v>
      </c>
      <c r="B192" s="2">
        <v>45717</v>
      </c>
      <c r="C192" t="s">
        <v>15</v>
      </c>
      <c r="D192" t="s">
        <v>18</v>
      </c>
      <c r="E192">
        <v>37705.879999999997</v>
      </c>
      <c r="F192">
        <v>1268</v>
      </c>
      <c r="G192">
        <v>0.25900000000000001</v>
      </c>
      <c r="H192">
        <v>9</v>
      </c>
      <c r="I192">
        <v>84.1</v>
      </c>
      <c r="J192">
        <v>4.7699999999999996</v>
      </c>
      <c r="K192">
        <v>0</v>
      </c>
      <c r="L192">
        <v>3.8</v>
      </c>
      <c r="M192">
        <v>443275.59</v>
      </c>
      <c r="N192">
        <v>53544.36</v>
      </c>
      <c r="O192">
        <f t="shared" si="12"/>
        <v>0</v>
      </c>
      <c r="P192">
        <f t="shared" si="13"/>
        <v>0</v>
      </c>
      <c r="Q192">
        <f t="shared" si="14"/>
        <v>0</v>
      </c>
      <c r="R192">
        <f t="shared" si="15"/>
        <v>0</v>
      </c>
      <c r="S192">
        <f t="shared" si="16"/>
        <v>1</v>
      </c>
      <c r="T192">
        <f t="shared" si="17"/>
        <v>0</v>
      </c>
    </row>
    <row r="193" spans="1:20">
      <c r="A193" t="s">
        <v>69</v>
      </c>
      <c r="B193" s="2">
        <v>45748</v>
      </c>
      <c r="C193" t="s">
        <v>15</v>
      </c>
      <c r="D193" t="s">
        <v>18</v>
      </c>
      <c r="E193">
        <v>54966.18</v>
      </c>
      <c r="F193">
        <v>4423</v>
      </c>
      <c r="G193">
        <v>0.186</v>
      </c>
      <c r="H193">
        <v>13</v>
      </c>
      <c r="I193">
        <v>88.7</v>
      </c>
      <c r="J193">
        <v>0.2</v>
      </c>
      <c r="K193">
        <v>0</v>
      </c>
      <c r="L193">
        <v>4.4000000000000004</v>
      </c>
      <c r="M193">
        <v>554012.06999999995</v>
      </c>
      <c r="N193">
        <v>81101.62</v>
      </c>
      <c r="O193">
        <f t="shared" si="12"/>
        <v>0</v>
      </c>
      <c r="P193">
        <f t="shared" si="13"/>
        <v>0</v>
      </c>
      <c r="Q193">
        <f t="shared" si="14"/>
        <v>0</v>
      </c>
      <c r="R193">
        <f t="shared" si="15"/>
        <v>0</v>
      </c>
      <c r="S193">
        <f t="shared" si="16"/>
        <v>1</v>
      </c>
      <c r="T193">
        <f t="shared" si="17"/>
        <v>0</v>
      </c>
    </row>
    <row r="194" spans="1:20">
      <c r="A194" t="s">
        <v>70</v>
      </c>
      <c r="B194" s="2">
        <v>45658</v>
      </c>
      <c r="C194" t="s">
        <v>27</v>
      </c>
      <c r="D194" t="s">
        <v>16</v>
      </c>
      <c r="E194">
        <v>81796.740000000005</v>
      </c>
      <c r="F194">
        <v>6177</v>
      </c>
      <c r="G194">
        <v>0.16400000000000001</v>
      </c>
      <c r="H194">
        <v>14</v>
      </c>
      <c r="I194">
        <v>87.9</v>
      </c>
      <c r="J194">
        <v>0.53</v>
      </c>
      <c r="K194">
        <v>0</v>
      </c>
      <c r="L194">
        <v>3.2</v>
      </c>
      <c r="M194">
        <v>643428.85</v>
      </c>
      <c r="N194">
        <v>94477.63</v>
      </c>
      <c r="O194">
        <f t="shared" si="12"/>
        <v>0</v>
      </c>
      <c r="P194">
        <f t="shared" si="13"/>
        <v>0</v>
      </c>
      <c r="Q194">
        <f t="shared" si="14"/>
        <v>1</v>
      </c>
      <c r="R194">
        <f t="shared" si="15"/>
        <v>0</v>
      </c>
      <c r="S194">
        <f t="shared" si="16"/>
        <v>0</v>
      </c>
      <c r="T194">
        <f t="shared" si="17"/>
        <v>0</v>
      </c>
    </row>
    <row r="195" spans="1:20">
      <c r="A195" t="s">
        <v>70</v>
      </c>
      <c r="B195" s="2">
        <v>45689</v>
      </c>
      <c r="C195" t="s">
        <v>27</v>
      </c>
      <c r="D195" t="s">
        <v>16</v>
      </c>
      <c r="E195">
        <v>51133.43</v>
      </c>
      <c r="F195">
        <v>5150</v>
      </c>
      <c r="G195">
        <v>0.15</v>
      </c>
      <c r="H195">
        <v>12</v>
      </c>
      <c r="I195">
        <v>88.5</v>
      </c>
      <c r="J195">
        <v>1.54</v>
      </c>
      <c r="K195">
        <v>0</v>
      </c>
      <c r="L195">
        <v>3.2</v>
      </c>
      <c r="M195">
        <v>611924.27</v>
      </c>
      <c r="N195">
        <v>115488.75</v>
      </c>
      <c r="O195">
        <f t="shared" ref="O195:O258" si="18">IF(C195="North",1,0)</f>
        <v>0</v>
      </c>
      <c r="P195">
        <f t="shared" ref="P195:P258" si="19">IF(C195="South",1,0)</f>
        <v>0</v>
      </c>
      <c r="Q195">
        <f t="shared" ref="Q195:Q258" si="20">IF(C195="West",1,0)</f>
        <v>1</v>
      </c>
      <c r="R195">
        <f t="shared" ref="R195:R258" si="21">IF(D195="Airport",1,0)</f>
        <v>0</v>
      </c>
      <c r="S195">
        <f t="shared" ref="S195:S258" si="22">IF(D195="High Street",1,0)</f>
        <v>0</v>
      </c>
      <c r="T195">
        <f t="shared" ref="T195:T258" si="23">IF(D195="Mall",1,0)</f>
        <v>0</v>
      </c>
    </row>
    <row r="196" spans="1:20">
      <c r="A196" t="s">
        <v>70</v>
      </c>
      <c r="B196" s="2">
        <v>45717</v>
      </c>
      <c r="C196" t="s">
        <v>27</v>
      </c>
      <c r="D196" t="s">
        <v>16</v>
      </c>
      <c r="E196">
        <v>40220.18</v>
      </c>
      <c r="F196">
        <v>3783</v>
      </c>
      <c r="G196">
        <v>8.8999999999999996E-2</v>
      </c>
      <c r="H196">
        <v>14</v>
      </c>
      <c r="I196">
        <v>86.6</v>
      </c>
      <c r="J196">
        <v>3.63</v>
      </c>
      <c r="K196">
        <v>0</v>
      </c>
      <c r="L196">
        <v>3.7</v>
      </c>
      <c r="M196">
        <v>559422.02</v>
      </c>
      <c r="N196">
        <v>73528.740000000005</v>
      </c>
      <c r="O196">
        <f t="shared" si="18"/>
        <v>0</v>
      </c>
      <c r="P196">
        <f t="shared" si="19"/>
        <v>0</v>
      </c>
      <c r="Q196">
        <f t="shared" si="20"/>
        <v>1</v>
      </c>
      <c r="R196">
        <f t="shared" si="21"/>
        <v>0</v>
      </c>
      <c r="S196">
        <f t="shared" si="22"/>
        <v>0</v>
      </c>
      <c r="T196">
        <f t="shared" si="23"/>
        <v>0</v>
      </c>
    </row>
    <row r="197" spans="1:20">
      <c r="A197" t="s">
        <v>70</v>
      </c>
      <c r="B197" s="2">
        <v>45748</v>
      </c>
      <c r="C197" t="s">
        <v>27</v>
      </c>
      <c r="D197" t="s">
        <v>16</v>
      </c>
      <c r="E197">
        <v>41657.64</v>
      </c>
      <c r="F197">
        <v>3135</v>
      </c>
      <c r="G197">
        <v>0.22900000000000001</v>
      </c>
      <c r="H197">
        <v>7</v>
      </c>
      <c r="I197">
        <v>85.4</v>
      </c>
      <c r="J197">
        <v>13.48</v>
      </c>
      <c r="K197">
        <v>0</v>
      </c>
      <c r="L197">
        <v>3.9246794871794872</v>
      </c>
      <c r="M197">
        <v>449465.06</v>
      </c>
      <c r="N197">
        <v>65694.78</v>
      </c>
      <c r="O197">
        <f t="shared" si="18"/>
        <v>0</v>
      </c>
      <c r="P197">
        <f t="shared" si="19"/>
        <v>0</v>
      </c>
      <c r="Q197">
        <f t="shared" si="20"/>
        <v>1</v>
      </c>
      <c r="R197">
        <f t="shared" si="21"/>
        <v>0</v>
      </c>
      <c r="S197">
        <f t="shared" si="22"/>
        <v>0</v>
      </c>
      <c r="T197">
        <f t="shared" si="23"/>
        <v>0</v>
      </c>
    </row>
    <row r="198" spans="1:20">
      <c r="A198" t="s">
        <v>71</v>
      </c>
      <c r="B198" s="2">
        <v>45658</v>
      </c>
      <c r="C198" t="s">
        <v>20</v>
      </c>
      <c r="D198" t="s">
        <v>16</v>
      </c>
      <c r="E198">
        <v>71851.45</v>
      </c>
      <c r="F198">
        <v>4970</v>
      </c>
      <c r="G198">
        <v>9.8000000000000004E-2</v>
      </c>
      <c r="H198">
        <v>11</v>
      </c>
      <c r="I198">
        <v>89.6</v>
      </c>
      <c r="J198">
        <v>0.2</v>
      </c>
      <c r="K198">
        <v>0</v>
      </c>
      <c r="L198">
        <v>4.2</v>
      </c>
      <c r="M198">
        <v>691447.43</v>
      </c>
      <c r="N198">
        <v>114077.69</v>
      </c>
      <c r="O198">
        <f t="shared" si="18"/>
        <v>1</v>
      </c>
      <c r="P198">
        <f t="shared" si="19"/>
        <v>0</v>
      </c>
      <c r="Q198">
        <f t="shared" si="20"/>
        <v>0</v>
      </c>
      <c r="R198">
        <f t="shared" si="21"/>
        <v>0</v>
      </c>
      <c r="S198">
        <f t="shared" si="22"/>
        <v>0</v>
      </c>
      <c r="T198">
        <f t="shared" si="23"/>
        <v>0</v>
      </c>
    </row>
    <row r="199" spans="1:20">
      <c r="A199" t="s">
        <v>71</v>
      </c>
      <c r="B199" s="2">
        <v>45689</v>
      </c>
      <c r="C199" t="s">
        <v>20</v>
      </c>
      <c r="D199" t="s">
        <v>16</v>
      </c>
      <c r="E199">
        <v>54002.83</v>
      </c>
      <c r="F199">
        <v>4366</v>
      </c>
      <c r="G199">
        <v>2.7E-2</v>
      </c>
      <c r="H199">
        <v>15</v>
      </c>
      <c r="I199">
        <v>90.6</v>
      </c>
      <c r="J199">
        <v>12.82</v>
      </c>
      <c r="K199">
        <v>0</v>
      </c>
      <c r="L199">
        <v>4.5999999999999996</v>
      </c>
      <c r="M199">
        <v>574066.61</v>
      </c>
      <c r="N199">
        <v>124674.67</v>
      </c>
      <c r="O199">
        <f t="shared" si="18"/>
        <v>1</v>
      </c>
      <c r="P199">
        <f t="shared" si="19"/>
        <v>0</v>
      </c>
      <c r="Q199">
        <f t="shared" si="20"/>
        <v>0</v>
      </c>
      <c r="R199">
        <f t="shared" si="21"/>
        <v>0</v>
      </c>
      <c r="S199">
        <f t="shared" si="22"/>
        <v>0</v>
      </c>
      <c r="T199">
        <f t="shared" si="23"/>
        <v>0</v>
      </c>
    </row>
    <row r="200" spans="1:20">
      <c r="A200" t="s">
        <v>71</v>
      </c>
      <c r="B200" s="2">
        <v>45717</v>
      </c>
      <c r="C200" t="s">
        <v>20</v>
      </c>
      <c r="D200" t="s">
        <v>16</v>
      </c>
      <c r="E200">
        <v>54479.33</v>
      </c>
      <c r="F200">
        <v>5012</v>
      </c>
      <c r="G200">
        <v>0.28399999999999997</v>
      </c>
      <c r="H200">
        <v>13</v>
      </c>
      <c r="I200">
        <v>86</v>
      </c>
      <c r="J200">
        <v>2.2400000000000002</v>
      </c>
      <c r="K200">
        <v>1</v>
      </c>
      <c r="L200">
        <v>4.3</v>
      </c>
      <c r="M200">
        <v>578949.84</v>
      </c>
      <c r="N200">
        <v>80253.649999999994</v>
      </c>
      <c r="O200">
        <f t="shared" si="18"/>
        <v>1</v>
      </c>
      <c r="P200">
        <f t="shared" si="19"/>
        <v>0</v>
      </c>
      <c r="Q200">
        <f t="shared" si="20"/>
        <v>0</v>
      </c>
      <c r="R200">
        <f t="shared" si="21"/>
        <v>0</v>
      </c>
      <c r="S200">
        <f t="shared" si="22"/>
        <v>0</v>
      </c>
      <c r="T200">
        <f t="shared" si="23"/>
        <v>0</v>
      </c>
    </row>
    <row r="201" spans="1:20">
      <c r="A201" t="s">
        <v>71</v>
      </c>
      <c r="B201" s="2">
        <v>45748</v>
      </c>
      <c r="C201" t="s">
        <v>20</v>
      </c>
      <c r="D201" t="s">
        <v>16</v>
      </c>
      <c r="E201">
        <v>61391.8</v>
      </c>
      <c r="F201">
        <v>5575</v>
      </c>
      <c r="G201">
        <v>0.189</v>
      </c>
      <c r="H201">
        <v>18</v>
      </c>
      <c r="I201">
        <v>90</v>
      </c>
      <c r="J201">
        <v>1.8</v>
      </c>
      <c r="K201">
        <v>0</v>
      </c>
      <c r="L201">
        <v>4.8</v>
      </c>
      <c r="M201">
        <v>735786.64</v>
      </c>
      <c r="N201">
        <v>126540.66</v>
      </c>
      <c r="O201">
        <f t="shared" si="18"/>
        <v>1</v>
      </c>
      <c r="P201">
        <f t="shared" si="19"/>
        <v>0</v>
      </c>
      <c r="Q201">
        <f t="shared" si="20"/>
        <v>0</v>
      </c>
      <c r="R201">
        <f t="shared" si="21"/>
        <v>0</v>
      </c>
      <c r="S201">
        <f t="shared" si="22"/>
        <v>0</v>
      </c>
      <c r="T201">
        <f t="shared" si="23"/>
        <v>0</v>
      </c>
    </row>
    <row r="202" spans="1:20">
      <c r="A202" t="s">
        <v>72</v>
      </c>
      <c r="B202" s="2">
        <v>45658</v>
      </c>
      <c r="C202" t="s">
        <v>15</v>
      </c>
      <c r="D202" t="s">
        <v>21</v>
      </c>
      <c r="E202">
        <v>22312.93</v>
      </c>
      <c r="F202">
        <v>5955</v>
      </c>
      <c r="G202">
        <v>0.123</v>
      </c>
      <c r="H202">
        <v>13</v>
      </c>
      <c r="I202">
        <v>84.2</v>
      </c>
      <c r="J202">
        <v>0.41</v>
      </c>
      <c r="K202">
        <v>1</v>
      </c>
      <c r="L202">
        <v>4.5999999999999996</v>
      </c>
      <c r="M202">
        <v>598904.9</v>
      </c>
      <c r="N202">
        <v>72861</v>
      </c>
      <c r="O202">
        <f t="shared" si="18"/>
        <v>0</v>
      </c>
      <c r="P202">
        <f t="shared" si="19"/>
        <v>0</v>
      </c>
      <c r="Q202">
        <f t="shared" si="20"/>
        <v>0</v>
      </c>
      <c r="R202">
        <f t="shared" si="21"/>
        <v>1</v>
      </c>
      <c r="S202">
        <f t="shared" si="22"/>
        <v>0</v>
      </c>
      <c r="T202">
        <f t="shared" si="23"/>
        <v>0</v>
      </c>
    </row>
    <row r="203" spans="1:20">
      <c r="A203" t="s">
        <v>72</v>
      </c>
      <c r="B203" s="2">
        <v>45689</v>
      </c>
      <c r="C203" t="s">
        <v>15</v>
      </c>
      <c r="D203" t="s">
        <v>21</v>
      </c>
      <c r="E203">
        <v>78111.97</v>
      </c>
      <c r="F203">
        <v>6389</v>
      </c>
      <c r="G203">
        <v>0.15</v>
      </c>
      <c r="H203">
        <v>13</v>
      </c>
      <c r="I203">
        <v>83.9</v>
      </c>
      <c r="J203">
        <v>3.05</v>
      </c>
      <c r="K203">
        <v>0</v>
      </c>
      <c r="L203">
        <v>4.8</v>
      </c>
      <c r="M203">
        <v>787715.51</v>
      </c>
      <c r="N203">
        <v>128969.62</v>
      </c>
      <c r="O203">
        <f t="shared" si="18"/>
        <v>0</v>
      </c>
      <c r="P203">
        <f t="shared" si="19"/>
        <v>0</v>
      </c>
      <c r="Q203">
        <f t="shared" si="20"/>
        <v>0</v>
      </c>
      <c r="R203">
        <f t="shared" si="21"/>
        <v>1</v>
      </c>
      <c r="S203">
        <f t="shared" si="22"/>
        <v>0</v>
      </c>
      <c r="T203">
        <f t="shared" si="23"/>
        <v>0</v>
      </c>
    </row>
    <row r="204" spans="1:20">
      <c r="A204" t="s">
        <v>72</v>
      </c>
      <c r="B204" s="2">
        <v>45717</v>
      </c>
      <c r="C204" t="s">
        <v>15</v>
      </c>
      <c r="D204" t="s">
        <v>21</v>
      </c>
      <c r="E204">
        <v>35203.230000000003</v>
      </c>
      <c r="F204">
        <v>6896</v>
      </c>
      <c r="G204">
        <v>3.2000000000000001E-2</v>
      </c>
      <c r="H204">
        <v>14</v>
      </c>
      <c r="I204">
        <v>80.8</v>
      </c>
      <c r="J204">
        <v>8.44</v>
      </c>
      <c r="K204">
        <v>1</v>
      </c>
      <c r="L204">
        <v>5</v>
      </c>
      <c r="M204">
        <v>607084.92000000004</v>
      </c>
      <c r="N204">
        <v>98558.49</v>
      </c>
      <c r="O204">
        <f t="shared" si="18"/>
        <v>0</v>
      </c>
      <c r="P204">
        <f t="shared" si="19"/>
        <v>0</v>
      </c>
      <c r="Q204">
        <f t="shared" si="20"/>
        <v>0</v>
      </c>
      <c r="R204">
        <f t="shared" si="21"/>
        <v>1</v>
      </c>
      <c r="S204">
        <f t="shared" si="22"/>
        <v>0</v>
      </c>
      <c r="T204">
        <f t="shared" si="23"/>
        <v>0</v>
      </c>
    </row>
    <row r="205" spans="1:20">
      <c r="A205" t="s">
        <v>72</v>
      </c>
      <c r="B205" s="2">
        <v>45748</v>
      </c>
      <c r="C205" t="s">
        <v>15</v>
      </c>
      <c r="D205" t="s">
        <v>21</v>
      </c>
      <c r="E205">
        <v>64104.28</v>
      </c>
      <c r="F205">
        <v>6015</v>
      </c>
      <c r="G205">
        <v>0.127</v>
      </c>
      <c r="H205">
        <v>15</v>
      </c>
      <c r="I205">
        <v>88.7</v>
      </c>
      <c r="J205">
        <v>0.78</v>
      </c>
      <c r="K205">
        <v>0</v>
      </c>
      <c r="L205">
        <v>4</v>
      </c>
      <c r="M205">
        <v>650795.49</v>
      </c>
      <c r="N205">
        <v>103035.89</v>
      </c>
      <c r="O205">
        <f t="shared" si="18"/>
        <v>0</v>
      </c>
      <c r="P205">
        <f t="shared" si="19"/>
        <v>0</v>
      </c>
      <c r="Q205">
        <f t="shared" si="20"/>
        <v>0</v>
      </c>
      <c r="R205">
        <f t="shared" si="21"/>
        <v>1</v>
      </c>
      <c r="S205">
        <f t="shared" si="22"/>
        <v>0</v>
      </c>
      <c r="T205">
        <f t="shared" si="23"/>
        <v>0</v>
      </c>
    </row>
    <row r="206" spans="1:20">
      <c r="A206" t="s">
        <v>73</v>
      </c>
      <c r="B206" s="2">
        <v>45658</v>
      </c>
      <c r="C206" t="s">
        <v>15</v>
      </c>
      <c r="D206" t="s">
        <v>28</v>
      </c>
      <c r="E206">
        <v>92090.14</v>
      </c>
      <c r="F206">
        <v>9476</v>
      </c>
      <c r="G206">
        <v>7.0000000000000007E-2</v>
      </c>
      <c r="H206">
        <v>24</v>
      </c>
      <c r="I206">
        <v>94.3</v>
      </c>
      <c r="J206">
        <v>0.87</v>
      </c>
      <c r="K206">
        <v>0</v>
      </c>
      <c r="L206">
        <v>3.7</v>
      </c>
      <c r="M206">
        <v>825060.52</v>
      </c>
      <c r="N206">
        <v>143613.15</v>
      </c>
      <c r="O206">
        <f t="shared" si="18"/>
        <v>0</v>
      </c>
      <c r="P206">
        <f t="shared" si="19"/>
        <v>0</v>
      </c>
      <c r="Q206">
        <f t="shared" si="20"/>
        <v>0</v>
      </c>
      <c r="R206">
        <f t="shared" si="21"/>
        <v>0</v>
      </c>
      <c r="S206">
        <f t="shared" si="22"/>
        <v>0</v>
      </c>
      <c r="T206">
        <f t="shared" si="23"/>
        <v>1</v>
      </c>
    </row>
    <row r="207" spans="1:20">
      <c r="A207" t="s">
        <v>73</v>
      </c>
      <c r="B207" s="2">
        <v>45689</v>
      </c>
      <c r="C207" t="s">
        <v>15</v>
      </c>
      <c r="D207" t="s">
        <v>28</v>
      </c>
      <c r="E207">
        <v>54300.87</v>
      </c>
      <c r="F207">
        <v>7875</v>
      </c>
      <c r="G207">
        <v>0.107</v>
      </c>
      <c r="H207">
        <v>19</v>
      </c>
      <c r="I207">
        <v>94.1</v>
      </c>
      <c r="J207">
        <v>0.95</v>
      </c>
      <c r="K207">
        <v>0</v>
      </c>
      <c r="L207">
        <v>3.7</v>
      </c>
      <c r="M207">
        <v>795464.47</v>
      </c>
      <c r="N207">
        <v>161150.51999999999</v>
      </c>
      <c r="O207">
        <f t="shared" si="18"/>
        <v>0</v>
      </c>
      <c r="P207">
        <f t="shared" si="19"/>
        <v>0</v>
      </c>
      <c r="Q207">
        <f t="shared" si="20"/>
        <v>0</v>
      </c>
      <c r="R207">
        <f t="shared" si="21"/>
        <v>0</v>
      </c>
      <c r="S207">
        <f t="shared" si="22"/>
        <v>0</v>
      </c>
      <c r="T207">
        <f t="shared" si="23"/>
        <v>1</v>
      </c>
    </row>
    <row r="208" spans="1:20">
      <c r="A208" t="s">
        <v>73</v>
      </c>
      <c r="B208" s="2">
        <v>45717</v>
      </c>
      <c r="C208" t="s">
        <v>15</v>
      </c>
      <c r="D208" t="s">
        <v>28</v>
      </c>
      <c r="E208">
        <v>37983.35</v>
      </c>
      <c r="F208">
        <v>9283</v>
      </c>
      <c r="G208">
        <v>0.14899999999999999</v>
      </c>
      <c r="H208">
        <v>19</v>
      </c>
      <c r="I208">
        <v>83.2</v>
      </c>
      <c r="J208">
        <v>3.82</v>
      </c>
      <c r="K208">
        <v>0</v>
      </c>
      <c r="L208">
        <v>3.7</v>
      </c>
      <c r="M208">
        <v>671868.59</v>
      </c>
      <c r="N208">
        <v>71003.28</v>
      </c>
      <c r="O208">
        <f t="shared" si="18"/>
        <v>0</v>
      </c>
      <c r="P208">
        <f t="shared" si="19"/>
        <v>0</v>
      </c>
      <c r="Q208">
        <f t="shared" si="20"/>
        <v>0</v>
      </c>
      <c r="R208">
        <f t="shared" si="21"/>
        <v>0</v>
      </c>
      <c r="S208">
        <f t="shared" si="22"/>
        <v>0</v>
      </c>
      <c r="T208">
        <f t="shared" si="23"/>
        <v>1</v>
      </c>
    </row>
    <row r="209" spans="1:20">
      <c r="A209" t="s">
        <v>73</v>
      </c>
      <c r="B209" s="2">
        <v>45748</v>
      </c>
      <c r="C209" t="s">
        <v>15</v>
      </c>
      <c r="D209" t="s">
        <v>28</v>
      </c>
      <c r="E209">
        <v>56413.83</v>
      </c>
      <c r="F209">
        <v>8303</v>
      </c>
      <c r="G209">
        <v>0.11600000000000001</v>
      </c>
      <c r="H209">
        <v>18</v>
      </c>
      <c r="I209">
        <v>93.6</v>
      </c>
      <c r="J209">
        <v>2.7</v>
      </c>
      <c r="K209">
        <v>0</v>
      </c>
      <c r="L209">
        <v>3.7</v>
      </c>
      <c r="M209">
        <v>675917.63</v>
      </c>
      <c r="N209">
        <v>112564.75</v>
      </c>
      <c r="O209">
        <f t="shared" si="18"/>
        <v>0</v>
      </c>
      <c r="P209">
        <f t="shared" si="19"/>
        <v>0</v>
      </c>
      <c r="Q209">
        <f t="shared" si="20"/>
        <v>0</v>
      </c>
      <c r="R209">
        <f t="shared" si="21"/>
        <v>0</v>
      </c>
      <c r="S209">
        <f t="shared" si="22"/>
        <v>0</v>
      </c>
      <c r="T209">
        <f t="shared" si="23"/>
        <v>1</v>
      </c>
    </row>
    <row r="210" spans="1:20">
      <c r="A210" t="s">
        <v>74</v>
      </c>
      <c r="B210" s="2">
        <v>45658</v>
      </c>
      <c r="C210" t="s">
        <v>15</v>
      </c>
      <c r="D210" t="s">
        <v>18</v>
      </c>
      <c r="E210">
        <v>63457.19</v>
      </c>
      <c r="F210">
        <v>10125</v>
      </c>
      <c r="G210">
        <v>9.7000000000000003E-2</v>
      </c>
      <c r="H210">
        <v>24</v>
      </c>
      <c r="I210">
        <v>87</v>
      </c>
      <c r="J210">
        <v>3.84</v>
      </c>
      <c r="K210">
        <v>1</v>
      </c>
      <c r="L210">
        <v>3.7</v>
      </c>
      <c r="M210">
        <v>810446.53</v>
      </c>
      <c r="N210">
        <v>200575.34</v>
      </c>
      <c r="O210">
        <f t="shared" si="18"/>
        <v>0</v>
      </c>
      <c r="P210">
        <f t="shared" si="19"/>
        <v>0</v>
      </c>
      <c r="Q210">
        <f t="shared" si="20"/>
        <v>0</v>
      </c>
      <c r="R210">
        <f t="shared" si="21"/>
        <v>0</v>
      </c>
      <c r="S210">
        <f t="shared" si="22"/>
        <v>1</v>
      </c>
      <c r="T210">
        <f t="shared" si="23"/>
        <v>0</v>
      </c>
    </row>
    <row r="211" spans="1:20">
      <c r="A211" t="s">
        <v>74</v>
      </c>
      <c r="B211" s="2">
        <v>45689</v>
      </c>
      <c r="C211" t="s">
        <v>15</v>
      </c>
      <c r="D211" t="s">
        <v>18</v>
      </c>
      <c r="E211">
        <v>62949.7</v>
      </c>
      <c r="F211">
        <v>9458</v>
      </c>
      <c r="G211">
        <v>0.17100000000000001</v>
      </c>
      <c r="H211">
        <v>19</v>
      </c>
      <c r="I211">
        <v>84.9</v>
      </c>
      <c r="J211">
        <v>5.09</v>
      </c>
      <c r="K211">
        <v>0</v>
      </c>
      <c r="L211">
        <v>3.3</v>
      </c>
      <c r="M211">
        <v>691288.19</v>
      </c>
      <c r="N211">
        <v>159074.14000000001</v>
      </c>
      <c r="O211">
        <f t="shared" si="18"/>
        <v>0</v>
      </c>
      <c r="P211">
        <f t="shared" si="19"/>
        <v>0</v>
      </c>
      <c r="Q211">
        <f t="shared" si="20"/>
        <v>0</v>
      </c>
      <c r="R211">
        <f t="shared" si="21"/>
        <v>0</v>
      </c>
      <c r="S211">
        <f t="shared" si="22"/>
        <v>1</v>
      </c>
      <c r="T211">
        <f t="shared" si="23"/>
        <v>0</v>
      </c>
    </row>
    <row r="212" spans="1:20">
      <c r="A212" t="s">
        <v>74</v>
      </c>
      <c r="B212" s="2">
        <v>45717</v>
      </c>
      <c r="C212" t="s">
        <v>15</v>
      </c>
      <c r="D212" t="s">
        <v>18</v>
      </c>
      <c r="E212">
        <v>107970.19</v>
      </c>
      <c r="F212">
        <v>12870</v>
      </c>
      <c r="G212">
        <v>2.9000000000000001E-2</v>
      </c>
      <c r="H212">
        <v>31</v>
      </c>
      <c r="I212">
        <v>91.7</v>
      </c>
      <c r="J212">
        <v>3.82</v>
      </c>
      <c r="K212">
        <v>1</v>
      </c>
      <c r="L212">
        <v>3.7</v>
      </c>
      <c r="M212">
        <v>946833.54</v>
      </c>
      <c r="N212">
        <v>184540.31</v>
      </c>
      <c r="O212">
        <f t="shared" si="18"/>
        <v>0</v>
      </c>
      <c r="P212">
        <f t="shared" si="19"/>
        <v>0</v>
      </c>
      <c r="Q212">
        <f t="shared" si="20"/>
        <v>0</v>
      </c>
      <c r="R212">
        <f t="shared" si="21"/>
        <v>0</v>
      </c>
      <c r="S212">
        <f t="shared" si="22"/>
        <v>1</v>
      </c>
      <c r="T212">
        <f t="shared" si="23"/>
        <v>0</v>
      </c>
    </row>
    <row r="213" spans="1:20">
      <c r="A213" t="s">
        <v>74</v>
      </c>
      <c r="B213" s="2">
        <v>45748</v>
      </c>
      <c r="C213" t="s">
        <v>15</v>
      </c>
      <c r="D213" t="s">
        <v>18</v>
      </c>
      <c r="E213">
        <v>49405.75</v>
      </c>
      <c r="F213">
        <v>9752</v>
      </c>
      <c r="G213">
        <v>9.2999999999999999E-2</v>
      </c>
      <c r="H213">
        <v>21</v>
      </c>
      <c r="I213">
        <v>87</v>
      </c>
      <c r="J213">
        <v>12.28</v>
      </c>
      <c r="K213">
        <v>0</v>
      </c>
      <c r="L213">
        <v>4.0999999999999996</v>
      </c>
      <c r="M213">
        <v>761963.23</v>
      </c>
      <c r="N213">
        <v>150113.60999999999</v>
      </c>
      <c r="O213">
        <f t="shared" si="18"/>
        <v>0</v>
      </c>
      <c r="P213">
        <f t="shared" si="19"/>
        <v>0</v>
      </c>
      <c r="Q213">
        <f t="shared" si="20"/>
        <v>0</v>
      </c>
      <c r="R213">
        <f t="shared" si="21"/>
        <v>0</v>
      </c>
      <c r="S213">
        <f t="shared" si="22"/>
        <v>1</v>
      </c>
      <c r="T213">
        <f t="shared" si="23"/>
        <v>0</v>
      </c>
    </row>
    <row r="214" spans="1:20">
      <c r="A214" t="s">
        <v>75</v>
      </c>
      <c r="B214" s="2">
        <v>45658</v>
      </c>
      <c r="C214" t="s">
        <v>27</v>
      </c>
      <c r="D214" t="s">
        <v>16</v>
      </c>
      <c r="E214">
        <v>50887.46</v>
      </c>
      <c r="F214">
        <v>9505</v>
      </c>
      <c r="G214">
        <v>9.0999999999999998E-2</v>
      </c>
      <c r="H214">
        <v>25</v>
      </c>
      <c r="I214">
        <v>89.7</v>
      </c>
      <c r="J214">
        <v>2.8</v>
      </c>
      <c r="K214">
        <v>0</v>
      </c>
      <c r="L214">
        <v>4.3</v>
      </c>
      <c r="M214">
        <v>812152.6</v>
      </c>
      <c r="N214">
        <v>138419.43</v>
      </c>
      <c r="O214">
        <f t="shared" si="18"/>
        <v>0</v>
      </c>
      <c r="P214">
        <f t="shared" si="19"/>
        <v>0</v>
      </c>
      <c r="Q214">
        <f t="shared" si="20"/>
        <v>1</v>
      </c>
      <c r="R214">
        <f t="shared" si="21"/>
        <v>0</v>
      </c>
      <c r="S214">
        <f t="shared" si="22"/>
        <v>0</v>
      </c>
      <c r="T214">
        <f t="shared" si="23"/>
        <v>0</v>
      </c>
    </row>
    <row r="215" spans="1:20">
      <c r="A215" t="s">
        <v>75</v>
      </c>
      <c r="B215" s="2">
        <v>45689</v>
      </c>
      <c r="C215" t="s">
        <v>27</v>
      </c>
      <c r="D215" t="s">
        <v>16</v>
      </c>
      <c r="E215">
        <v>41819.449999999997</v>
      </c>
      <c r="F215">
        <v>9412</v>
      </c>
      <c r="G215">
        <v>0.15</v>
      </c>
      <c r="H215">
        <v>22</v>
      </c>
      <c r="I215">
        <v>91</v>
      </c>
      <c r="J215">
        <v>3.67</v>
      </c>
      <c r="K215">
        <v>0</v>
      </c>
      <c r="L215">
        <v>4.2</v>
      </c>
      <c r="M215">
        <v>804975.5</v>
      </c>
      <c r="N215">
        <v>140054.5</v>
      </c>
      <c r="O215">
        <f t="shared" si="18"/>
        <v>0</v>
      </c>
      <c r="P215">
        <f t="shared" si="19"/>
        <v>0</v>
      </c>
      <c r="Q215">
        <f t="shared" si="20"/>
        <v>1</v>
      </c>
      <c r="R215">
        <f t="shared" si="21"/>
        <v>0</v>
      </c>
      <c r="S215">
        <f t="shared" si="22"/>
        <v>0</v>
      </c>
      <c r="T215">
        <f t="shared" si="23"/>
        <v>0</v>
      </c>
    </row>
    <row r="216" spans="1:20">
      <c r="A216" t="s">
        <v>75</v>
      </c>
      <c r="B216" s="2">
        <v>45717</v>
      </c>
      <c r="C216" t="s">
        <v>27</v>
      </c>
      <c r="D216" t="s">
        <v>16</v>
      </c>
      <c r="E216">
        <v>35296.54</v>
      </c>
      <c r="F216">
        <v>9644</v>
      </c>
      <c r="G216">
        <v>0</v>
      </c>
      <c r="H216">
        <v>22</v>
      </c>
      <c r="I216">
        <v>88</v>
      </c>
      <c r="J216">
        <v>2.81</v>
      </c>
      <c r="K216">
        <v>0</v>
      </c>
      <c r="L216">
        <v>4.7</v>
      </c>
      <c r="M216">
        <v>752321.72</v>
      </c>
      <c r="N216">
        <v>137788.51</v>
      </c>
      <c r="O216">
        <f t="shared" si="18"/>
        <v>0</v>
      </c>
      <c r="P216">
        <f t="shared" si="19"/>
        <v>0</v>
      </c>
      <c r="Q216">
        <f t="shared" si="20"/>
        <v>1</v>
      </c>
      <c r="R216">
        <f t="shared" si="21"/>
        <v>0</v>
      </c>
      <c r="S216">
        <f t="shared" si="22"/>
        <v>0</v>
      </c>
      <c r="T216">
        <f t="shared" si="23"/>
        <v>0</v>
      </c>
    </row>
    <row r="217" spans="1:20">
      <c r="A217" t="s">
        <v>75</v>
      </c>
      <c r="B217" s="2">
        <v>45748</v>
      </c>
      <c r="C217" t="s">
        <v>27</v>
      </c>
      <c r="D217" t="s">
        <v>16</v>
      </c>
      <c r="E217">
        <v>47391.09</v>
      </c>
      <c r="F217">
        <v>11224</v>
      </c>
      <c r="G217">
        <v>0.14699999999999999</v>
      </c>
      <c r="H217">
        <v>25</v>
      </c>
      <c r="I217">
        <v>88.4</v>
      </c>
      <c r="J217">
        <v>2.44</v>
      </c>
      <c r="K217">
        <v>0</v>
      </c>
      <c r="L217">
        <v>4.9000000000000004</v>
      </c>
      <c r="M217">
        <v>836908.24</v>
      </c>
      <c r="N217">
        <v>141090.26</v>
      </c>
      <c r="O217">
        <f t="shared" si="18"/>
        <v>0</v>
      </c>
      <c r="P217">
        <f t="shared" si="19"/>
        <v>0</v>
      </c>
      <c r="Q217">
        <f t="shared" si="20"/>
        <v>1</v>
      </c>
      <c r="R217">
        <f t="shared" si="21"/>
        <v>0</v>
      </c>
      <c r="S217">
        <f t="shared" si="22"/>
        <v>0</v>
      </c>
      <c r="T217">
        <f t="shared" si="23"/>
        <v>0</v>
      </c>
    </row>
    <row r="218" spans="1:20">
      <c r="A218" t="s">
        <v>76</v>
      </c>
      <c r="B218" s="2">
        <v>45658</v>
      </c>
      <c r="C218" t="s">
        <v>20</v>
      </c>
      <c r="D218" t="s">
        <v>21</v>
      </c>
      <c r="E218">
        <v>69180.539999999994</v>
      </c>
      <c r="F218">
        <v>5394</v>
      </c>
      <c r="G218">
        <v>0.126</v>
      </c>
      <c r="H218">
        <v>12</v>
      </c>
      <c r="I218">
        <v>82.9</v>
      </c>
      <c r="J218">
        <v>3.27</v>
      </c>
      <c r="K218">
        <v>0</v>
      </c>
      <c r="L218">
        <v>3.3</v>
      </c>
      <c r="M218">
        <v>674289.1</v>
      </c>
      <c r="N218">
        <v>117773.79</v>
      </c>
      <c r="O218">
        <f t="shared" si="18"/>
        <v>1</v>
      </c>
      <c r="P218">
        <f t="shared" si="19"/>
        <v>0</v>
      </c>
      <c r="Q218">
        <f t="shared" si="20"/>
        <v>0</v>
      </c>
      <c r="R218">
        <f t="shared" si="21"/>
        <v>1</v>
      </c>
      <c r="S218">
        <f t="shared" si="22"/>
        <v>0</v>
      </c>
      <c r="T218">
        <f t="shared" si="23"/>
        <v>0</v>
      </c>
    </row>
    <row r="219" spans="1:20">
      <c r="A219" t="s">
        <v>76</v>
      </c>
      <c r="B219" s="2">
        <v>45689</v>
      </c>
      <c r="C219" t="s">
        <v>20</v>
      </c>
      <c r="D219" t="s">
        <v>21</v>
      </c>
      <c r="E219">
        <v>33987.33</v>
      </c>
      <c r="F219">
        <v>5014</v>
      </c>
      <c r="G219">
        <v>0.246</v>
      </c>
      <c r="H219">
        <v>17</v>
      </c>
      <c r="I219">
        <v>94.3</v>
      </c>
      <c r="J219">
        <v>10.34</v>
      </c>
      <c r="K219">
        <v>0</v>
      </c>
      <c r="L219">
        <v>3.9</v>
      </c>
      <c r="M219">
        <v>622892.42000000004</v>
      </c>
      <c r="N219">
        <v>101032.52</v>
      </c>
      <c r="O219">
        <f t="shared" si="18"/>
        <v>1</v>
      </c>
      <c r="P219">
        <f t="shared" si="19"/>
        <v>0</v>
      </c>
      <c r="Q219">
        <f t="shared" si="20"/>
        <v>0</v>
      </c>
      <c r="R219">
        <f t="shared" si="21"/>
        <v>1</v>
      </c>
      <c r="S219">
        <f t="shared" si="22"/>
        <v>0</v>
      </c>
      <c r="T219">
        <f t="shared" si="23"/>
        <v>0</v>
      </c>
    </row>
    <row r="220" spans="1:20">
      <c r="A220" t="s">
        <v>76</v>
      </c>
      <c r="B220" s="2">
        <v>45717</v>
      </c>
      <c r="C220" t="s">
        <v>20</v>
      </c>
      <c r="D220" t="s">
        <v>21</v>
      </c>
      <c r="E220">
        <v>58785.33</v>
      </c>
      <c r="F220">
        <v>4467</v>
      </c>
      <c r="G220">
        <v>0.22900000000000001</v>
      </c>
      <c r="H220">
        <v>14</v>
      </c>
      <c r="I220">
        <v>90.7</v>
      </c>
      <c r="J220">
        <v>1.92</v>
      </c>
      <c r="K220">
        <v>0</v>
      </c>
      <c r="L220">
        <v>3.7</v>
      </c>
      <c r="M220">
        <v>673348.56</v>
      </c>
      <c r="N220">
        <v>69464.59</v>
      </c>
      <c r="O220">
        <f t="shared" si="18"/>
        <v>1</v>
      </c>
      <c r="P220">
        <f t="shared" si="19"/>
        <v>0</v>
      </c>
      <c r="Q220">
        <f t="shared" si="20"/>
        <v>0</v>
      </c>
      <c r="R220">
        <f t="shared" si="21"/>
        <v>1</v>
      </c>
      <c r="S220">
        <f t="shared" si="22"/>
        <v>0</v>
      </c>
      <c r="T220">
        <f t="shared" si="23"/>
        <v>0</v>
      </c>
    </row>
    <row r="221" spans="1:20">
      <c r="A221" t="s">
        <v>76</v>
      </c>
      <c r="B221" s="2">
        <v>45748</v>
      </c>
      <c r="C221" t="s">
        <v>20</v>
      </c>
      <c r="D221" t="s">
        <v>21</v>
      </c>
      <c r="E221">
        <v>16451.849999999999</v>
      </c>
      <c r="F221">
        <v>4678</v>
      </c>
      <c r="G221">
        <v>0.13300000000000001</v>
      </c>
      <c r="H221">
        <v>11</v>
      </c>
      <c r="I221">
        <v>95.9</v>
      </c>
      <c r="J221">
        <v>3.1</v>
      </c>
      <c r="K221">
        <v>0</v>
      </c>
      <c r="L221">
        <v>3.9</v>
      </c>
      <c r="M221">
        <v>606278.30000000005</v>
      </c>
      <c r="N221">
        <v>102213.26</v>
      </c>
      <c r="O221">
        <f t="shared" si="18"/>
        <v>1</v>
      </c>
      <c r="P221">
        <f t="shared" si="19"/>
        <v>0</v>
      </c>
      <c r="Q221">
        <f t="shared" si="20"/>
        <v>0</v>
      </c>
      <c r="R221">
        <f t="shared" si="21"/>
        <v>1</v>
      </c>
      <c r="S221">
        <f t="shared" si="22"/>
        <v>0</v>
      </c>
      <c r="T221">
        <f t="shared" si="23"/>
        <v>0</v>
      </c>
    </row>
    <row r="222" spans="1:20">
      <c r="A222" t="s">
        <v>77</v>
      </c>
      <c r="B222" s="2">
        <v>45658</v>
      </c>
      <c r="C222" t="s">
        <v>15</v>
      </c>
      <c r="D222" t="s">
        <v>18</v>
      </c>
      <c r="E222">
        <v>53367.73</v>
      </c>
      <c r="F222">
        <v>7291</v>
      </c>
      <c r="G222">
        <v>0.14599999999999999</v>
      </c>
      <c r="H222">
        <v>18</v>
      </c>
      <c r="I222">
        <v>90.6</v>
      </c>
      <c r="J222">
        <v>6.34</v>
      </c>
      <c r="K222">
        <v>1</v>
      </c>
      <c r="L222">
        <v>3.8</v>
      </c>
      <c r="M222">
        <v>712219.81</v>
      </c>
      <c r="N222">
        <v>85906.54</v>
      </c>
      <c r="O222">
        <f t="shared" si="18"/>
        <v>0</v>
      </c>
      <c r="P222">
        <f t="shared" si="19"/>
        <v>0</v>
      </c>
      <c r="Q222">
        <f t="shared" si="20"/>
        <v>0</v>
      </c>
      <c r="R222">
        <f t="shared" si="21"/>
        <v>0</v>
      </c>
      <c r="S222">
        <f t="shared" si="22"/>
        <v>1</v>
      </c>
      <c r="T222">
        <f t="shared" si="23"/>
        <v>0</v>
      </c>
    </row>
    <row r="223" spans="1:20">
      <c r="A223" t="s">
        <v>77</v>
      </c>
      <c r="B223" s="2">
        <v>45689</v>
      </c>
      <c r="C223" t="s">
        <v>15</v>
      </c>
      <c r="D223" t="s">
        <v>18</v>
      </c>
      <c r="E223">
        <v>27194.639999999999</v>
      </c>
      <c r="F223">
        <v>7404</v>
      </c>
      <c r="G223">
        <v>8.7999999999999995E-2</v>
      </c>
      <c r="H223">
        <v>18</v>
      </c>
      <c r="I223">
        <v>90.2</v>
      </c>
      <c r="J223">
        <v>1.2</v>
      </c>
      <c r="K223">
        <v>0</v>
      </c>
      <c r="L223">
        <v>3.4</v>
      </c>
      <c r="M223">
        <v>672670.54</v>
      </c>
      <c r="N223">
        <v>132684.18</v>
      </c>
      <c r="O223">
        <f t="shared" si="18"/>
        <v>0</v>
      </c>
      <c r="P223">
        <f t="shared" si="19"/>
        <v>0</v>
      </c>
      <c r="Q223">
        <f t="shared" si="20"/>
        <v>0</v>
      </c>
      <c r="R223">
        <f t="shared" si="21"/>
        <v>0</v>
      </c>
      <c r="S223">
        <f t="shared" si="22"/>
        <v>1</v>
      </c>
      <c r="T223">
        <f t="shared" si="23"/>
        <v>0</v>
      </c>
    </row>
    <row r="224" spans="1:20">
      <c r="A224" t="s">
        <v>77</v>
      </c>
      <c r="B224" s="2">
        <v>45717</v>
      </c>
      <c r="C224" t="s">
        <v>15</v>
      </c>
      <c r="D224" t="s">
        <v>18</v>
      </c>
      <c r="E224">
        <v>66962.740000000005</v>
      </c>
      <c r="F224">
        <v>7880</v>
      </c>
      <c r="G224">
        <v>0.11600000000000001</v>
      </c>
      <c r="H224">
        <v>19</v>
      </c>
      <c r="I224">
        <v>90.4</v>
      </c>
      <c r="J224">
        <v>4.5</v>
      </c>
      <c r="K224">
        <v>0</v>
      </c>
      <c r="L224">
        <v>3.3</v>
      </c>
      <c r="M224">
        <v>732667.92</v>
      </c>
      <c r="N224">
        <v>128654.46</v>
      </c>
      <c r="O224">
        <f t="shared" si="18"/>
        <v>0</v>
      </c>
      <c r="P224">
        <f t="shared" si="19"/>
        <v>0</v>
      </c>
      <c r="Q224">
        <f t="shared" si="20"/>
        <v>0</v>
      </c>
      <c r="R224">
        <f t="shared" si="21"/>
        <v>0</v>
      </c>
      <c r="S224">
        <f t="shared" si="22"/>
        <v>1</v>
      </c>
      <c r="T224">
        <f t="shared" si="23"/>
        <v>0</v>
      </c>
    </row>
    <row r="225" spans="1:20">
      <c r="A225" t="s">
        <v>77</v>
      </c>
      <c r="B225" s="2">
        <v>45748</v>
      </c>
      <c r="C225" t="s">
        <v>15</v>
      </c>
      <c r="D225" t="s">
        <v>18</v>
      </c>
      <c r="E225">
        <v>73540.990000000005</v>
      </c>
      <c r="F225">
        <v>8773</v>
      </c>
      <c r="G225">
        <v>3.5000000000000003E-2</v>
      </c>
      <c r="H225">
        <v>21</v>
      </c>
      <c r="I225">
        <v>84.4</v>
      </c>
      <c r="J225">
        <v>6.68</v>
      </c>
      <c r="K225">
        <v>0</v>
      </c>
      <c r="L225">
        <v>3.6</v>
      </c>
      <c r="M225">
        <v>723531.4</v>
      </c>
      <c r="N225">
        <v>108794.85</v>
      </c>
      <c r="O225">
        <f t="shared" si="18"/>
        <v>0</v>
      </c>
      <c r="P225">
        <f t="shared" si="19"/>
        <v>0</v>
      </c>
      <c r="Q225">
        <f t="shared" si="20"/>
        <v>0</v>
      </c>
      <c r="R225">
        <f t="shared" si="21"/>
        <v>0</v>
      </c>
      <c r="S225">
        <f t="shared" si="22"/>
        <v>1</v>
      </c>
      <c r="T225">
        <f t="shared" si="23"/>
        <v>0</v>
      </c>
    </row>
    <row r="226" spans="1:20">
      <c r="A226" t="s">
        <v>78</v>
      </c>
      <c r="B226" s="2">
        <v>45658</v>
      </c>
      <c r="C226" t="s">
        <v>15</v>
      </c>
      <c r="D226" t="s">
        <v>28</v>
      </c>
      <c r="E226">
        <v>68212.289999999994</v>
      </c>
      <c r="F226">
        <v>4713</v>
      </c>
      <c r="G226">
        <v>0.19800000000000001</v>
      </c>
      <c r="H226">
        <v>15</v>
      </c>
      <c r="I226">
        <v>82.6</v>
      </c>
      <c r="J226">
        <v>4.07</v>
      </c>
      <c r="K226">
        <v>1</v>
      </c>
      <c r="L226">
        <v>3</v>
      </c>
      <c r="M226">
        <v>641564.6</v>
      </c>
      <c r="N226">
        <v>90468.96</v>
      </c>
      <c r="O226">
        <f t="shared" si="18"/>
        <v>0</v>
      </c>
      <c r="P226">
        <f t="shared" si="19"/>
        <v>0</v>
      </c>
      <c r="Q226">
        <f t="shared" si="20"/>
        <v>0</v>
      </c>
      <c r="R226">
        <f t="shared" si="21"/>
        <v>0</v>
      </c>
      <c r="S226">
        <f t="shared" si="22"/>
        <v>0</v>
      </c>
      <c r="T226">
        <f t="shared" si="23"/>
        <v>1</v>
      </c>
    </row>
    <row r="227" spans="1:20">
      <c r="A227" t="s">
        <v>78</v>
      </c>
      <c r="B227" s="2">
        <v>45689</v>
      </c>
      <c r="C227" t="s">
        <v>15</v>
      </c>
      <c r="D227" t="s">
        <v>28</v>
      </c>
      <c r="E227">
        <v>57225.98</v>
      </c>
      <c r="F227">
        <v>2842</v>
      </c>
      <c r="G227">
        <v>0.112</v>
      </c>
      <c r="H227">
        <v>10</v>
      </c>
      <c r="I227">
        <v>79.5</v>
      </c>
      <c r="J227">
        <v>5.45</v>
      </c>
      <c r="K227">
        <v>0</v>
      </c>
      <c r="L227">
        <v>3.4</v>
      </c>
      <c r="M227">
        <v>536545.49</v>
      </c>
      <c r="N227">
        <v>97917.45</v>
      </c>
      <c r="O227">
        <f t="shared" si="18"/>
        <v>0</v>
      </c>
      <c r="P227">
        <f t="shared" si="19"/>
        <v>0</v>
      </c>
      <c r="Q227">
        <f t="shared" si="20"/>
        <v>0</v>
      </c>
      <c r="R227">
        <f t="shared" si="21"/>
        <v>0</v>
      </c>
      <c r="S227">
        <f t="shared" si="22"/>
        <v>0</v>
      </c>
      <c r="T227">
        <f t="shared" si="23"/>
        <v>1</v>
      </c>
    </row>
    <row r="228" spans="1:20">
      <c r="A228" t="s">
        <v>78</v>
      </c>
      <c r="B228" s="2">
        <v>45717</v>
      </c>
      <c r="C228" t="s">
        <v>15</v>
      </c>
      <c r="D228" t="s">
        <v>28</v>
      </c>
      <c r="E228">
        <v>42932.02</v>
      </c>
      <c r="F228">
        <v>3872</v>
      </c>
      <c r="G228">
        <v>0.17100000000000001</v>
      </c>
      <c r="H228">
        <v>12</v>
      </c>
      <c r="I228">
        <v>83.2</v>
      </c>
      <c r="J228">
        <v>15.58</v>
      </c>
      <c r="K228">
        <v>0</v>
      </c>
      <c r="L228">
        <v>3.3</v>
      </c>
      <c r="M228">
        <v>527681.56000000006</v>
      </c>
      <c r="N228">
        <v>63153.05</v>
      </c>
      <c r="O228">
        <f t="shared" si="18"/>
        <v>0</v>
      </c>
      <c r="P228">
        <f t="shared" si="19"/>
        <v>0</v>
      </c>
      <c r="Q228">
        <f t="shared" si="20"/>
        <v>0</v>
      </c>
      <c r="R228">
        <f t="shared" si="21"/>
        <v>0</v>
      </c>
      <c r="S228">
        <f t="shared" si="22"/>
        <v>0</v>
      </c>
      <c r="T228">
        <f t="shared" si="23"/>
        <v>1</v>
      </c>
    </row>
    <row r="229" spans="1:20">
      <c r="A229" t="s">
        <v>78</v>
      </c>
      <c r="B229" s="2">
        <v>45748</v>
      </c>
      <c r="C229" t="s">
        <v>15</v>
      </c>
      <c r="D229" t="s">
        <v>28</v>
      </c>
      <c r="E229">
        <v>39341.449999999997</v>
      </c>
      <c r="F229">
        <v>1375</v>
      </c>
      <c r="G229">
        <v>9.2999999999999999E-2</v>
      </c>
      <c r="H229">
        <v>5</v>
      </c>
      <c r="I229">
        <v>95</v>
      </c>
      <c r="J229">
        <v>5.32</v>
      </c>
      <c r="K229">
        <v>0</v>
      </c>
      <c r="L229">
        <v>3.9246794871794872</v>
      </c>
      <c r="M229">
        <v>529598.93999999994</v>
      </c>
      <c r="N229">
        <v>84334.33</v>
      </c>
      <c r="O229">
        <f t="shared" si="18"/>
        <v>0</v>
      </c>
      <c r="P229">
        <f t="shared" si="19"/>
        <v>0</v>
      </c>
      <c r="Q229">
        <f t="shared" si="20"/>
        <v>0</v>
      </c>
      <c r="R229">
        <f t="shared" si="21"/>
        <v>0</v>
      </c>
      <c r="S229">
        <f t="shared" si="22"/>
        <v>0</v>
      </c>
      <c r="T229">
        <f t="shared" si="23"/>
        <v>1</v>
      </c>
    </row>
    <row r="230" spans="1:20">
      <c r="A230" t="s">
        <v>79</v>
      </c>
      <c r="B230" s="2">
        <v>45658</v>
      </c>
      <c r="C230" t="s">
        <v>15</v>
      </c>
      <c r="D230" t="s">
        <v>18</v>
      </c>
      <c r="E230">
        <v>37324.230000000003</v>
      </c>
      <c r="F230">
        <v>5957</v>
      </c>
      <c r="G230">
        <v>7.0999999999999994E-2</v>
      </c>
      <c r="H230">
        <v>12</v>
      </c>
      <c r="I230">
        <v>85.9</v>
      </c>
      <c r="J230">
        <v>0.37</v>
      </c>
      <c r="K230">
        <v>0</v>
      </c>
      <c r="L230">
        <v>3.8</v>
      </c>
      <c r="M230">
        <v>570963.31000000006</v>
      </c>
      <c r="N230">
        <v>87342.25</v>
      </c>
      <c r="O230">
        <f t="shared" si="18"/>
        <v>0</v>
      </c>
      <c r="P230">
        <f t="shared" si="19"/>
        <v>0</v>
      </c>
      <c r="Q230">
        <f t="shared" si="20"/>
        <v>0</v>
      </c>
      <c r="R230">
        <f t="shared" si="21"/>
        <v>0</v>
      </c>
      <c r="S230">
        <f t="shared" si="22"/>
        <v>1</v>
      </c>
      <c r="T230">
        <f t="shared" si="23"/>
        <v>0</v>
      </c>
    </row>
    <row r="231" spans="1:20">
      <c r="A231" t="s">
        <v>79</v>
      </c>
      <c r="B231" s="2">
        <v>45689</v>
      </c>
      <c r="C231" t="s">
        <v>15</v>
      </c>
      <c r="D231" t="s">
        <v>18</v>
      </c>
      <c r="E231">
        <v>113736</v>
      </c>
      <c r="F231">
        <v>8961</v>
      </c>
      <c r="G231">
        <v>0.20200000000000001</v>
      </c>
      <c r="H231">
        <v>24</v>
      </c>
      <c r="I231">
        <v>86.2</v>
      </c>
      <c r="J231">
        <v>21.63</v>
      </c>
      <c r="K231">
        <v>0</v>
      </c>
      <c r="L231">
        <v>4</v>
      </c>
      <c r="M231">
        <v>870937.4</v>
      </c>
      <c r="N231">
        <v>175282.74</v>
      </c>
      <c r="O231">
        <f t="shared" si="18"/>
        <v>0</v>
      </c>
      <c r="P231">
        <f t="shared" si="19"/>
        <v>0</v>
      </c>
      <c r="Q231">
        <f t="shared" si="20"/>
        <v>0</v>
      </c>
      <c r="R231">
        <f t="shared" si="21"/>
        <v>0</v>
      </c>
      <c r="S231">
        <f t="shared" si="22"/>
        <v>1</v>
      </c>
      <c r="T231">
        <f t="shared" si="23"/>
        <v>0</v>
      </c>
    </row>
    <row r="232" spans="1:20">
      <c r="A232" t="s">
        <v>79</v>
      </c>
      <c r="B232" s="2">
        <v>45717</v>
      </c>
      <c r="C232" t="s">
        <v>15</v>
      </c>
      <c r="D232" t="s">
        <v>18</v>
      </c>
      <c r="E232">
        <v>33173.949999999997</v>
      </c>
      <c r="F232">
        <v>6545</v>
      </c>
      <c r="G232">
        <v>0.16900000000000001</v>
      </c>
      <c r="H232">
        <v>15</v>
      </c>
      <c r="I232">
        <v>84.4</v>
      </c>
      <c r="J232">
        <v>2.48</v>
      </c>
      <c r="K232">
        <v>0</v>
      </c>
      <c r="L232">
        <v>3.9</v>
      </c>
      <c r="M232">
        <v>596969.27</v>
      </c>
      <c r="N232">
        <v>105669.51</v>
      </c>
      <c r="O232">
        <f t="shared" si="18"/>
        <v>0</v>
      </c>
      <c r="P232">
        <f t="shared" si="19"/>
        <v>0</v>
      </c>
      <c r="Q232">
        <f t="shared" si="20"/>
        <v>0</v>
      </c>
      <c r="R232">
        <f t="shared" si="21"/>
        <v>0</v>
      </c>
      <c r="S232">
        <f t="shared" si="22"/>
        <v>1</v>
      </c>
      <c r="T232">
        <f t="shared" si="23"/>
        <v>0</v>
      </c>
    </row>
    <row r="233" spans="1:20">
      <c r="A233" t="s">
        <v>79</v>
      </c>
      <c r="B233" s="2">
        <v>45748</v>
      </c>
      <c r="C233" t="s">
        <v>15</v>
      </c>
      <c r="D233" t="s">
        <v>18</v>
      </c>
      <c r="E233">
        <v>25818.080000000002</v>
      </c>
      <c r="F233">
        <v>5457</v>
      </c>
      <c r="G233">
        <v>0</v>
      </c>
      <c r="H233">
        <v>11</v>
      </c>
      <c r="I233">
        <v>95.4</v>
      </c>
      <c r="J233">
        <v>4.5590445859872624</v>
      </c>
      <c r="K233">
        <v>0</v>
      </c>
      <c r="L233">
        <v>3.7</v>
      </c>
      <c r="M233">
        <v>647512.85</v>
      </c>
      <c r="N233">
        <v>153835.57</v>
      </c>
      <c r="O233">
        <f t="shared" si="18"/>
        <v>0</v>
      </c>
      <c r="P233">
        <f t="shared" si="19"/>
        <v>0</v>
      </c>
      <c r="Q233">
        <f t="shared" si="20"/>
        <v>0</v>
      </c>
      <c r="R233">
        <f t="shared" si="21"/>
        <v>0</v>
      </c>
      <c r="S233">
        <f t="shared" si="22"/>
        <v>1</v>
      </c>
      <c r="T233">
        <f t="shared" si="23"/>
        <v>0</v>
      </c>
    </row>
    <row r="234" spans="1:20">
      <c r="A234" t="s">
        <v>80</v>
      </c>
      <c r="B234" s="2">
        <v>45658</v>
      </c>
      <c r="C234" t="s">
        <v>27</v>
      </c>
      <c r="D234" t="s">
        <v>16</v>
      </c>
      <c r="E234">
        <v>47241.919999999998</v>
      </c>
      <c r="F234">
        <v>4264</v>
      </c>
      <c r="G234">
        <v>6.9000000000000006E-2</v>
      </c>
      <c r="H234">
        <v>13</v>
      </c>
      <c r="I234">
        <v>95.3</v>
      </c>
      <c r="J234">
        <v>0.85</v>
      </c>
      <c r="K234">
        <v>0</v>
      </c>
      <c r="L234">
        <v>4.3</v>
      </c>
      <c r="M234">
        <v>658072.14</v>
      </c>
      <c r="N234">
        <v>110595.89</v>
      </c>
      <c r="O234">
        <f t="shared" si="18"/>
        <v>0</v>
      </c>
      <c r="P234">
        <f t="shared" si="19"/>
        <v>0</v>
      </c>
      <c r="Q234">
        <f t="shared" si="20"/>
        <v>1</v>
      </c>
      <c r="R234">
        <f t="shared" si="21"/>
        <v>0</v>
      </c>
      <c r="S234">
        <f t="shared" si="22"/>
        <v>0</v>
      </c>
      <c r="T234">
        <f t="shared" si="23"/>
        <v>0</v>
      </c>
    </row>
    <row r="235" spans="1:20">
      <c r="A235" t="s">
        <v>80</v>
      </c>
      <c r="B235" s="2">
        <v>45689</v>
      </c>
      <c r="C235" t="s">
        <v>27</v>
      </c>
      <c r="D235" t="s">
        <v>16</v>
      </c>
      <c r="E235">
        <v>61650.79</v>
      </c>
      <c r="F235">
        <v>5321</v>
      </c>
      <c r="G235">
        <v>0.126</v>
      </c>
      <c r="H235">
        <v>17</v>
      </c>
      <c r="I235">
        <v>89.2</v>
      </c>
      <c r="J235">
        <v>2.13</v>
      </c>
      <c r="K235">
        <v>0</v>
      </c>
      <c r="L235">
        <v>4</v>
      </c>
      <c r="M235">
        <v>723305.11</v>
      </c>
      <c r="N235">
        <v>128468.7</v>
      </c>
      <c r="O235">
        <f t="shared" si="18"/>
        <v>0</v>
      </c>
      <c r="P235">
        <f t="shared" si="19"/>
        <v>0</v>
      </c>
      <c r="Q235">
        <f t="shared" si="20"/>
        <v>1</v>
      </c>
      <c r="R235">
        <f t="shared" si="21"/>
        <v>0</v>
      </c>
      <c r="S235">
        <f t="shared" si="22"/>
        <v>0</v>
      </c>
      <c r="T235">
        <f t="shared" si="23"/>
        <v>0</v>
      </c>
    </row>
    <row r="236" spans="1:20">
      <c r="A236" t="s">
        <v>80</v>
      </c>
      <c r="B236" s="2">
        <v>45717</v>
      </c>
      <c r="C236" t="s">
        <v>27</v>
      </c>
      <c r="D236" t="s">
        <v>16</v>
      </c>
      <c r="E236">
        <v>62582.71</v>
      </c>
      <c r="F236">
        <v>5479</v>
      </c>
      <c r="G236">
        <v>4.8000000000000001E-2</v>
      </c>
      <c r="H236">
        <v>16</v>
      </c>
      <c r="I236">
        <v>81.2</v>
      </c>
      <c r="J236">
        <v>1.46</v>
      </c>
      <c r="K236">
        <v>0</v>
      </c>
      <c r="L236">
        <v>4.5</v>
      </c>
      <c r="M236">
        <v>640666.53</v>
      </c>
      <c r="N236">
        <v>134919.16</v>
      </c>
      <c r="O236">
        <f t="shared" si="18"/>
        <v>0</v>
      </c>
      <c r="P236">
        <f t="shared" si="19"/>
        <v>0</v>
      </c>
      <c r="Q236">
        <f t="shared" si="20"/>
        <v>1</v>
      </c>
      <c r="R236">
        <f t="shared" si="21"/>
        <v>0</v>
      </c>
      <c r="S236">
        <f t="shared" si="22"/>
        <v>0</v>
      </c>
      <c r="T236">
        <f t="shared" si="23"/>
        <v>0</v>
      </c>
    </row>
    <row r="237" spans="1:20">
      <c r="A237" t="s">
        <v>80</v>
      </c>
      <c r="B237" s="2">
        <v>45748</v>
      </c>
      <c r="C237" t="s">
        <v>27</v>
      </c>
      <c r="D237" t="s">
        <v>16</v>
      </c>
      <c r="E237">
        <v>47944.14</v>
      </c>
      <c r="F237">
        <v>6169</v>
      </c>
      <c r="G237">
        <v>0.11899999999999999</v>
      </c>
      <c r="H237">
        <v>17</v>
      </c>
      <c r="I237">
        <v>92.2</v>
      </c>
      <c r="J237">
        <v>3.02</v>
      </c>
      <c r="K237">
        <v>0</v>
      </c>
      <c r="L237">
        <v>4.0999999999999996</v>
      </c>
      <c r="M237">
        <v>670629.48</v>
      </c>
      <c r="N237">
        <v>100140.8</v>
      </c>
      <c r="O237">
        <f t="shared" si="18"/>
        <v>0</v>
      </c>
      <c r="P237">
        <f t="shared" si="19"/>
        <v>0</v>
      </c>
      <c r="Q237">
        <f t="shared" si="20"/>
        <v>1</v>
      </c>
      <c r="R237">
        <f t="shared" si="21"/>
        <v>0</v>
      </c>
      <c r="S237">
        <f t="shared" si="22"/>
        <v>0</v>
      </c>
      <c r="T237">
        <f t="shared" si="23"/>
        <v>0</v>
      </c>
    </row>
    <row r="238" spans="1:20">
      <c r="A238" t="s">
        <v>81</v>
      </c>
      <c r="B238" s="2">
        <v>45658</v>
      </c>
      <c r="C238" t="s">
        <v>27</v>
      </c>
      <c r="D238" t="s">
        <v>28</v>
      </c>
      <c r="E238">
        <v>46495.4</v>
      </c>
      <c r="F238">
        <v>9908</v>
      </c>
      <c r="G238">
        <v>0.121</v>
      </c>
      <c r="H238">
        <v>22</v>
      </c>
      <c r="I238">
        <v>89.4</v>
      </c>
      <c r="J238">
        <v>3.22</v>
      </c>
      <c r="K238">
        <v>0</v>
      </c>
      <c r="L238">
        <v>3.7</v>
      </c>
      <c r="M238">
        <v>721079.35</v>
      </c>
      <c r="N238">
        <v>115295.05</v>
      </c>
      <c r="O238">
        <f t="shared" si="18"/>
        <v>0</v>
      </c>
      <c r="P238">
        <f t="shared" si="19"/>
        <v>0</v>
      </c>
      <c r="Q238">
        <f t="shared" si="20"/>
        <v>1</v>
      </c>
      <c r="R238">
        <f t="shared" si="21"/>
        <v>0</v>
      </c>
      <c r="S238">
        <f t="shared" si="22"/>
        <v>0</v>
      </c>
      <c r="T238">
        <f t="shared" si="23"/>
        <v>1</v>
      </c>
    </row>
    <row r="239" spans="1:20">
      <c r="A239" t="s">
        <v>81</v>
      </c>
      <c r="B239" s="2">
        <v>45689</v>
      </c>
      <c r="C239" t="s">
        <v>27</v>
      </c>
      <c r="D239" t="s">
        <v>28</v>
      </c>
      <c r="E239">
        <v>72961.95</v>
      </c>
      <c r="F239">
        <v>9996</v>
      </c>
      <c r="G239">
        <v>0.106</v>
      </c>
      <c r="H239">
        <v>22</v>
      </c>
      <c r="I239">
        <v>89.1</v>
      </c>
      <c r="J239">
        <v>15.66</v>
      </c>
      <c r="K239">
        <v>0</v>
      </c>
      <c r="L239">
        <v>3.4</v>
      </c>
      <c r="M239">
        <v>810355.02</v>
      </c>
      <c r="N239">
        <v>131510</v>
      </c>
      <c r="O239">
        <f t="shared" si="18"/>
        <v>0</v>
      </c>
      <c r="P239">
        <f t="shared" si="19"/>
        <v>0</v>
      </c>
      <c r="Q239">
        <f t="shared" si="20"/>
        <v>1</v>
      </c>
      <c r="R239">
        <f t="shared" si="21"/>
        <v>0</v>
      </c>
      <c r="S239">
        <f t="shared" si="22"/>
        <v>0</v>
      </c>
      <c r="T239">
        <f t="shared" si="23"/>
        <v>1</v>
      </c>
    </row>
    <row r="240" spans="1:20">
      <c r="A240" t="s">
        <v>81</v>
      </c>
      <c r="B240" s="2">
        <v>45717</v>
      </c>
      <c r="C240" t="s">
        <v>27</v>
      </c>
      <c r="D240" t="s">
        <v>28</v>
      </c>
      <c r="E240">
        <v>59060.05</v>
      </c>
      <c r="F240">
        <v>9702</v>
      </c>
      <c r="G240">
        <v>0.20100000000000001</v>
      </c>
      <c r="H240">
        <v>23</v>
      </c>
      <c r="I240">
        <v>80.900000000000006</v>
      </c>
      <c r="J240">
        <v>6.96</v>
      </c>
      <c r="K240">
        <v>0</v>
      </c>
      <c r="L240">
        <v>3.2</v>
      </c>
      <c r="M240">
        <v>761919.25</v>
      </c>
      <c r="N240">
        <v>111893.06</v>
      </c>
      <c r="O240">
        <f t="shared" si="18"/>
        <v>0</v>
      </c>
      <c r="P240">
        <f t="shared" si="19"/>
        <v>0</v>
      </c>
      <c r="Q240">
        <f t="shared" si="20"/>
        <v>1</v>
      </c>
      <c r="R240">
        <f t="shared" si="21"/>
        <v>0</v>
      </c>
      <c r="S240">
        <f t="shared" si="22"/>
        <v>0</v>
      </c>
      <c r="T240">
        <f t="shared" si="23"/>
        <v>1</v>
      </c>
    </row>
    <row r="241" spans="1:20">
      <c r="A241" t="s">
        <v>81</v>
      </c>
      <c r="B241" s="2">
        <v>45748</v>
      </c>
      <c r="C241" t="s">
        <v>27</v>
      </c>
      <c r="D241" t="s">
        <v>28</v>
      </c>
      <c r="E241">
        <v>26248.1</v>
      </c>
      <c r="F241">
        <v>9314</v>
      </c>
      <c r="G241">
        <v>0.186</v>
      </c>
      <c r="H241">
        <v>21</v>
      </c>
      <c r="I241">
        <v>83.7</v>
      </c>
      <c r="J241">
        <v>4.62</v>
      </c>
      <c r="K241">
        <v>0</v>
      </c>
      <c r="L241">
        <v>3.3</v>
      </c>
      <c r="M241">
        <v>737070.18</v>
      </c>
      <c r="N241">
        <v>117593.97</v>
      </c>
      <c r="O241">
        <f t="shared" si="18"/>
        <v>0</v>
      </c>
      <c r="P241">
        <f t="shared" si="19"/>
        <v>0</v>
      </c>
      <c r="Q241">
        <f t="shared" si="20"/>
        <v>1</v>
      </c>
      <c r="R241">
        <f t="shared" si="21"/>
        <v>0</v>
      </c>
      <c r="S241">
        <f t="shared" si="22"/>
        <v>0</v>
      </c>
      <c r="T241">
        <f t="shared" si="23"/>
        <v>1</v>
      </c>
    </row>
    <row r="242" spans="1:20">
      <c r="A242" t="s">
        <v>82</v>
      </c>
      <c r="B242" s="2">
        <v>45658</v>
      </c>
      <c r="C242" t="s">
        <v>24</v>
      </c>
      <c r="D242" t="s">
        <v>21</v>
      </c>
      <c r="E242">
        <v>69900.12</v>
      </c>
      <c r="F242">
        <v>8055</v>
      </c>
      <c r="G242">
        <v>0.28100000000000003</v>
      </c>
      <c r="H242">
        <v>22</v>
      </c>
      <c r="I242">
        <v>85.6</v>
      </c>
      <c r="J242">
        <v>10.68</v>
      </c>
      <c r="K242">
        <v>1</v>
      </c>
      <c r="L242">
        <v>2.9</v>
      </c>
      <c r="M242">
        <v>776992.93</v>
      </c>
      <c r="N242">
        <v>101598.32</v>
      </c>
      <c r="O242">
        <f t="shared" si="18"/>
        <v>0</v>
      </c>
      <c r="P242">
        <f t="shared" si="19"/>
        <v>1</v>
      </c>
      <c r="Q242">
        <f t="shared" si="20"/>
        <v>0</v>
      </c>
      <c r="R242">
        <f t="shared" si="21"/>
        <v>1</v>
      </c>
      <c r="S242">
        <f t="shared" si="22"/>
        <v>0</v>
      </c>
      <c r="T242">
        <f t="shared" si="23"/>
        <v>0</v>
      </c>
    </row>
    <row r="243" spans="1:20">
      <c r="A243" t="s">
        <v>82</v>
      </c>
      <c r="B243" s="2">
        <v>45689</v>
      </c>
      <c r="C243" t="s">
        <v>24</v>
      </c>
      <c r="D243" t="s">
        <v>21</v>
      </c>
      <c r="E243">
        <v>51781.599999999999</v>
      </c>
      <c r="F243">
        <v>5648</v>
      </c>
      <c r="G243">
        <v>5.8999999999999997E-2</v>
      </c>
      <c r="H243">
        <v>13</v>
      </c>
      <c r="I243">
        <v>85.5</v>
      </c>
      <c r="J243">
        <v>4.04</v>
      </c>
      <c r="K243">
        <v>0</v>
      </c>
      <c r="L243">
        <v>3.7</v>
      </c>
      <c r="M243">
        <v>676337.41</v>
      </c>
      <c r="N243">
        <v>104355.77</v>
      </c>
      <c r="O243">
        <f t="shared" si="18"/>
        <v>0</v>
      </c>
      <c r="P243">
        <f t="shared" si="19"/>
        <v>1</v>
      </c>
      <c r="Q243">
        <f t="shared" si="20"/>
        <v>0</v>
      </c>
      <c r="R243">
        <f t="shared" si="21"/>
        <v>1</v>
      </c>
      <c r="S243">
        <f t="shared" si="22"/>
        <v>0</v>
      </c>
      <c r="T243">
        <f t="shared" si="23"/>
        <v>0</v>
      </c>
    </row>
    <row r="244" spans="1:20">
      <c r="A244" t="s">
        <v>82</v>
      </c>
      <c r="B244" s="2">
        <v>45717</v>
      </c>
      <c r="C244" t="s">
        <v>24</v>
      </c>
      <c r="D244" t="s">
        <v>21</v>
      </c>
      <c r="E244">
        <v>70799.64</v>
      </c>
      <c r="F244">
        <v>10076</v>
      </c>
      <c r="G244">
        <v>0.152</v>
      </c>
      <c r="H244">
        <v>24</v>
      </c>
      <c r="I244">
        <v>84.8</v>
      </c>
      <c r="J244">
        <v>1.87</v>
      </c>
      <c r="K244">
        <v>0</v>
      </c>
      <c r="L244">
        <v>3.5</v>
      </c>
      <c r="M244">
        <v>828219.67</v>
      </c>
      <c r="N244">
        <v>179806.87</v>
      </c>
      <c r="O244">
        <f t="shared" si="18"/>
        <v>0</v>
      </c>
      <c r="P244">
        <f t="shared" si="19"/>
        <v>1</v>
      </c>
      <c r="Q244">
        <f t="shared" si="20"/>
        <v>0</v>
      </c>
      <c r="R244">
        <f t="shared" si="21"/>
        <v>1</v>
      </c>
      <c r="S244">
        <f t="shared" si="22"/>
        <v>0</v>
      </c>
      <c r="T244">
        <f t="shared" si="23"/>
        <v>0</v>
      </c>
    </row>
    <row r="245" spans="1:20">
      <c r="A245" t="s">
        <v>82</v>
      </c>
      <c r="B245" s="2">
        <v>45748</v>
      </c>
      <c r="C245" t="s">
        <v>24</v>
      </c>
      <c r="D245" t="s">
        <v>21</v>
      </c>
      <c r="E245">
        <v>53546.34</v>
      </c>
      <c r="F245">
        <v>8004</v>
      </c>
      <c r="G245">
        <v>0</v>
      </c>
      <c r="H245">
        <v>21</v>
      </c>
      <c r="I245">
        <v>95.2</v>
      </c>
      <c r="J245">
        <v>2.83</v>
      </c>
      <c r="K245">
        <v>0</v>
      </c>
      <c r="L245">
        <v>3</v>
      </c>
      <c r="M245">
        <v>763159.92</v>
      </c>
      <c r="N245">
        <v>177104.87</v>
      </c>
      <c r="O245">
        <f t="shared" si="18"/>
        <v>0</v>
      </c>
      <c r="P245">
        <f t="shared" si="19"/>
        <v>1</v>
      </c>
      <c r="Q245">
        <f t="shared" si="20"/>
        <v>0</v>
      </c>
      <c r="R245">
        <f t="shared" si="21"/>
        <v>1</v>
      </c>
      <c r="S245">
        <f t="shared" si="22"/>
        <v>0</v>
      </c>
      <c r="T245">
        <f t="shared" si="23"/>
        <v>0</v>
      </c>
    </row>
    <row r="246" spans="1:20">
      <c r="A246" t="s">
        <v>83</v>
      </c>
      <c r="B246" s="2">
        <v>45658</v>
      </c>
      <c r="C246" t="s">
        <v>15</v>
      </c>
      <c r="D246" t="s">
        <v>18</v>
      </c>
      <c r="E246">
        <v>76942.2</v>
      </c>
      <c r="F246">
        <v>8934</v>
      </c>
      <c r="G246">
        <v>8.4000000000000005E-2</v>
      </c>
      <c r="H246">
        <v>20</v>
      </c>
      <c r="I246">
        <v>91</v>
      </c>
      <c r="J246">
        <v>0.95</v>
      </c>
      <c r="K246">
        <v>0</v>
      </c>
      <c r="L246">
        <v>3.2</v>
      </c>
      <c r="M246">
        <v>802001.68</v>
      </c>
      <c r="N246">
        <v>159715.82</v>
      </c>
      <c r="O246">
        <f t="shared" si="18"/>
        <v>0</v>
      </c>
      <c r="P246">
        <f t="shared" si="19"/>
        <v>0</v>
      </c>
      <c r="Q246">
        <f t="shared" si="20"/>
        <v>0</v>
      </c>
      <c r="R246">
        <f t="shared" si="21"/>
        <v>0</v>
      </c>
      <c r="S246">
        <f t="shared" si="22"/>
        <v>1</v>
      </c>
      <c r="T246">
        <f t="shared" si="23"/>
        <v>0</v>
      </c>
    </row>
    <row r="247" spans="1:20">
      <c r="A247" t="s">
        <v>83</v>
      </c>
      <c r="B247" s="2">
        <v>45689</v>
      </c>
      <c r="C247" t="s">
        <v>15</v>
      </c>
      <c r="D247" t="s">
        <v>18</v>
      </c>
      <c r="E247">
        <v>48060.78</v>
      </c>
      <c r="F247">
        <v>8733</v>
      </c>
      <c r="G247">
        <v>0</v>
      </c>
      <c r="H247">
        <v>20</v>
      </c>
      <c r="I247">
        <v>89.9</v>
      </c>
      <c r="J247">
        <v>0.8</v>
      </c>
      <c r="K247">
        <v>0</v>
      </c>
      <c r="L247">
        <v>3.4</v>
      </c>
      <c r="M247">
        <v>750471.34</v>
      </c>
      <c r="N247">
        <v>133788.04</v>
      </c>
      <c r="O247">
        <f t="shared" si="18"/>
        <v>0</v>
      </c>
      <c r="P247">
        <f t="shared" si="19"/>
        <v>0</v>
      </c>
      <c r="Q247">
        <f t="shared" si="20"/>
        <v>0</v>
      </c>
      <c r="R247">
        <f t="shared" si="21"/>
        <v>0</v>
      </c>
      <c r="S247">
        <f t="shared" si="22"/>
        <v>1</v>
      </c>
      <c r="T247">
        <f t="shared" si="23"/>
        <v>0</v>
      </c>
    </row>
    <row r="248" spans="1:20">
      <c r="A248" t="s">
        <v>83</v>
      </c>
      <c r="B248" s="2">
        <v>45717</v>
      </c>
      <c r="C248" t="s">
        <v>15</v>
      </c>
      <c r="D248" t="s">
        <v>18</v>
      </c>
      <c r="E248">
        <v>57390.04</v>
      </c>
      <c r="F248">
        <v>7374</v>
      </c>
      <c r="G248">
        <v>0.21</v>
      </c>
      <c r="H248">
        <v>21</v>
      </c>
      <c r="I248">
        <v>91.8</v>
      </c>
      <c r="J248">
        <v>0.2</v>
      </c>
      <c r="K248">
        <v>0</v>
      </c>
      <c r="L248">
        <v>3.1</v>
      </c>
      <c r="M248">
        <v>679230.86</v>
      </c>
      <c r="N248">
        <v>106927.58</v>
      </c>
      <c r="O248">
        <f t="shared" si="18"/>
        <v>0</v>
      </c>
      <c r="P248">
        <f t="shared" si="19"/>
        <v>0</v>
      </c>
      <c r="Q248">
        <f t="shared" si="20"/>
        <v>0</v>
      </c>
      <c r="R248">
        <f t="shared" si="21"/>
        <v>0</v>
      </c>
      <c r="S248">
        <f t="shared" si="22"/>
        <v>1</v>
      </c>
      <c r="T248">
        <f t="shared" si="23"/>
        <v>0</v>
      </c>
    </row>
    <row r="249" spans="1:20">
      <c r="A249" t="s">
        <v>83</v>
      </c>
      <c r="B249" s="2">
        <v>45748</v>
      </c>
      <c r="C249" t="s">
        <v>15</v>
      </c>
      <c r="D249" t="s">
        <v>18</v>
      </c>
      <c r="E249">
        <v>21536.18</v>
      </c>
      <c r="F249">
        <v>8119</v>
      </c>
      <c r="G249">
        <v>0.22700000000000001</v>
      </c>
      <c r="H249">
        <v>20</v>
      </c>
      <c r="I249">
        <v>90.4</v>
      </c>
      <c r="J249">
        <v>1.7</v>
      </c>
      <c r="K249">
        <v>0</v>
      </c>
      <c r="L249">
        <v>3.3</v>
      </c>
      <c r="M249">
        <v>679888.74</v>
      </c>
      <c r="N249">
        <v>83406.89</v>
      </c>
      <c r="O249">
        <f t="shared" si="18"/>
        <v>0</v>
      </c>
      <c r="P249">
        <f t="shared" si="19"/>
        <v>0</v>
      </c>
      <c r="Q249">
        <f t="shared" si="20"/>
        <v>0</v>
      </c>
      <c r="R249">
        <f t="shared" si="21"/>
        <v>0</v>
      </c>
      <c r="S249">
        <f t="shared" si="22"/>
        <v>1</v>
      </c>
      <c r="T249">
        <f t="shared" si="23"/>
        <v>0</v>
      </c>
    </row>
    <row r="250" spans="1:20">
      <c r="A250" t="s">
        <v>84</v>
      </c>
      <c r="B250" s="2">
        <v>45658</v>
      </c>
      <c r="C250" t="s">
        <v>20</v>
      </c>
      <c r="D250" t="s">
        <v>18</v>
      </c>
      <c r="E250">
        <v>40923.67</v>
      </c>
      <c r="F250">
        <v>3875</v>
      </c>
      <c r="G250">
        <v>0.15</v>
      </c>
      <c r="H250">
        <v>10</v>
      </c>
      <c r="I250">
        <v>96.1</v>
      </c>
      <c r="J250">
        <v>4.5590445859872624</v>
      </c>
      <c r="K250">
        <v>0</v>
      </c>
      <c r="L250">
        <v>3.8</v>
      </c>
      <c r="M250">
        <v>606783.67000000004</v>
      </c>
      <c r="N250">
        <v>74515.87</v>
      </c>
      <c r="O250">
        <f t="shared" si="18"/>
        <v>1</v>
      </c>
      <c r="P250">
        <f t="shared" si="19"/>
        <v>0</v>
      </c>
      <c r="Q250">
        <f t="shared" si="20"/>
        <v>0</v>
      </c>
      <c r="R250">
        <f t="shared" si="21"/>
        <v>0</v>
      </c>
      <c r="S250">
        <f t="shared" si="22"/>
        <v>1</v>
      </c>
      <c r="T250">
        <f t="shared" si="23"/>
        <v>0</v>
      </c>
    </row>
    <row r="251" spans="1:20">
      <c r="A251" t="s">
        <v>84</v>
      </c>
      <c r="B251" s="2">
        <v>45689</v>
      </c>
      <c r="C251" t="s">
        <v>20</v>
      </c>
      <c r="D251" t="s">
        <v>18</v>
      </c>
      <c r="E251">
        <v>72932.55</v>
      </c>
      <c r="F251">
        <v>5765</v>
      </c>
      <c r="G251">
        <v>2.5999999999999999E-2</v>
      </c>
      <c r="H251">
        <v>17</v>
      </c>
      <c r="I251">
        <v>81.8</v>
      </c>
      <c r="J251">
        <v>5.0999999999999996</v>
      </c>
      <c r="K251">
        <v>0</v>
      </c>
      <c r="L251">
        <v>3.6</v>
      </c>
      <c r="M251">
        <v>642751.42000000004</v>
      </c>
      <c r="N251">
        <v>131942.15</v>
      </c>
      <c r="O251">
        <f t="shared" si="18"/>
        <v>1</v>
      </c>
      <c r="P251">
        <f t="shared" si="19"/>
        <v>0</v>
      </c>
      <c r="Q251">
        <f t="shared" si="20"/>
        <v>0</v>
      </c>
      <c r="R251">
        <f t="shared" si="21"/>
        <v>0</v>
      </c>
      <c r="S251">
        <f t="shared" si="22"/>
        <v>1</v>
      </c>
      <c r="T251">
        <f t="shared" si="23"/>
        <v>0</v>
      </c>
    </row>
    <row r="252" spans="1:20">
      <c r="A252" t="s">
        <v>84</v>
      </c>
      <c r="B252" s="2">
        <v>45717</v>
      </c>
      <c r="C252" t="s">
        <v>20</v>
      </c>
      <c r="D252" t="s">
        <v>18</v>
      </c>
      <c r="E252">
        <v>38361.93</v>
      </c>
      <c r="F252">
        <v>6322</v>
      </c>
      <c r="G252">
        <v>0.27300000000000002</v>
      </c>
      <c r="H252">
        <v>15</v>
      </c>
      <c r="I252">
        <v>88.4</v>
      </c>
      <c r="J252">
        <v>0.83</v>
      </c>
      <c r="K252">
        <v>0</v>
      </c>
      <c r="L252">
        <v>4</v>
      </c>
      <c r="M252">
        <v>647953.78</v>
      </c>
      <c r="N252">
        <v>118497.43</v>
      </c>
      <c r="O252">
        <f t="shared" si="18"/>
        <v>1</v>
      </c>
      <c r="P252">
        <f t="shared" si="19"/>
        <v>0</v>
      </c>
      <c r="Q252">
        <f t="shared" si="20"/>
        <v>0</v>
      </c>
      <c r="R252">
        <f t="shared" si="21"/>
        <v>0</v>
      </c>
      <c r="S252">
        <f t="shared" si="22"/>
        <v>1</v>
      </c>
      <c r="T252">
        <f t="shared" si="23"/>
        <v>0</v>
      </c>
    </row>
    <row r="253" spans="1:20">
      <c r="A253" t="s">
        <v>84</v>
      </c>
      <c r="B253" s="2">
        <v>45748</v>
      </c>
      <c r="C253" t="s">
        <v>20</v>
      </c>
      <c r="D253" t="s">
        <v>18</v>
      </c>
      <c r="E253">
        <v>97480.94</v>
      </c>
      <c r="F253">
        <v>6840</v>
      </c>
      <c r="G253">
        <v>8.6999999999999994E-2</v>
      </c>
      <c r="H253">
        <v>14</v>
      </c>
      <c r="I253">
        <v>79.2</v>
      </c>
      <c r="J253">
        <v>1.1399999999999999</v>
      </c>
      <c r="K253">
        <v>0</v>
      </c>
      <c r="L253">
        <v>4</v>
      </c>
      <c r="M253">
        <v>729440.45</v>
      </c>
      <c r="N253">
        <v>87614.29</v>
      </c>
      <c r="O253">
        <f t="shared" si="18"/>
        <v>1</v>
      </c>
      <c r="P253">
        <f t="shared" si="19"/>
        <v>0</v>
      </c>
      <c r="Q253">
        <f t="shared" si="20"/>
        <v>0</v>
      </c>
      <c r="R253">
        <f t="shared" si="21"/>
        <v>0</v>
      </c>
      <c r="S253">
        <f t="shared" si="22"/>
        <v>1</v>
      </c>
      <c r="T253">
        <f t="shared" si="23"/>
        <v>0</v>
      </c>
    </row>
    <row r="254" spans="1:20">
      <c r="A254" t="s">
        <v>85</v>
      </c>
      <c r="B254" s="2">
        <v>45658</v>
      </c>
      <c r="C254" t="s">
        <v>24</v>
      </c>
      <c r="D254" t="s">
        <v>21</v>
      </c>
      <c r="E254">
        <v>81801.8</v>
      </c>
      <c r="F254">
        <v>6782</v>
      </c>
      <c r="G254">
        <v>0.05</v>
      </c>
      <c r="H254">
        <v>16</v>
      </c>
      <c r="I254">
        <v>99</v>
      </c>
      <c r="J254">
        <v>9.5399999999999991</v>
      </c>
      <c r="K254">
        <v>0</v>
      </c>
      <c r="L254">
        <v>3.7</v>
      </c>
      <c r="M254">
        <v>764949</v>
      </c>
      <c r="N254">
        <v>148322.43</v>
      </c>
      <c r="O254">
        <f t="shared" si="18"/>
        <v>0</v>
      </c>
      <c r="P254">
        <f t="shared" si="19"/>
        <v>1</v>
      </c>
      <c r="Q254">
        <f t="shared" si="20"/>
        <v>0</v>
      </c>
      <c r="R254">
        <f t="shared" si="21"/>
        <v>1</v>
      </c>
      <c r="S254">
        <f t="shared" si="22"/>
        <v>0</v>
      </c>
      <c r="T254">
        <f t="shared" si="23"/>
        <v>0</v>
      </c>
    </row>
    <row r="255" spans="1:20">
      <c r="A255" t="s">
        <v>85</v>
      </c>
      <c r="B255" s="2">
        <v>45689</v>
      </c>
      <c r="C255" t="s">
        <v>24</v>
      </c>
      <c r="D255" t="s">
        <v>21</v>
      </c>
      <c r="E255">
        <v>63582.11</v>
      </c>
      <c r="F255">
        <v>6856</v>
      </c>
      <c r="G255">
        <v>7.3999999999999996E-2</v>
      </c>
      <c r="H255">
        <v>17</v>
      </c>
      <c r="I255">
        <v>89.5</v>
      </c>
      <c r="J255">
        <v>5.48</v>
      </c>
      <c r="K255">
        <v>0</v>
      </c>
      <c r="L255">
        <v>3.2</v>
      </c>
      <c r="M255">
        <v>799046.94</v>
      </c>
      <c r="N255">
        <v>144553.64000000001</v>
      </c>
      <c r="O255">
        <f t="shared" si="18"/>
        <v>0</v>
      </c>
      <c r="P255">
        <f t="shared" si="19"/>
        <v>1</v>
      </c>
      <c r="Q255">
        <f t="shared" si="20"/>
        <v>0</v>
      </c>
      <c r="R255">
        <f t="shared" si="21"/>
        <v>1</v>
      </c>
      <c r="S255">
        <f t="shared" si="22"/>
        <v>0</v>
      </c>
      <c r="T255">
        <f t="shared" si="23"/>
        <v>0</v>
      </c>
    </row>
    <row r="256" spans="1:20">
      <c r="A256" t="s">
        <v>85</v>
      </c>
      <c r="B256" s="2">
        <v>45717</v>
      </c>
      <c r="C256" t="s">
        <v>24</v>
      </c>
      <c r="D256" t="s">
        <v>21</v>
      </c>
      <c r="E256">
        <v>75412.740000000005</v>
      </c>
      <c r="F256">
        <v>5641</v>
      </c>
      <c r="G256">
        <v>5.8999999999999997E-2</v>
      </c>
      <c r="H256">
        <v>13</v>
      </c>
      <c r="I256">
        <v>87.9</v>
      </c>
      <c r="J256">
        <v>0.84</v>
      </c>
      <c r="K256">
        <v>0</v>
      </c>
      <c r="L256">
        <v>3.6</v>
      </c>
      <c r="M256">
        <v>720079.54</v>
      </c>
      <c r="N256">
        <v>119499.47</v>
      </c>
      <c r="O256">
        <f t="shared" si="18"/>
        <v>0</v>
      </c>
      <c r="P256">
        <f t="shared" si="19"/>
        <v>1</v>
      </c>
      <c r="Q256">
        <f t="shared" si="20"/>
        <v>0</v>
      </c>
      <c r="R256">
        <f t="shared" si="21"/>
        <v>1</v>
      </c>
      <c r="S256">
        <f t="shared" si="22"/>
        <v>0</v>
      </c>
      <c r="T256">
        <f t="shared" si="23"/>
        <v>0</v>
      </c>
    </row>
    <row r="257" spans="1:20">
      <c r="A257" t="s">
        <v>85</v>
      </c>
      <c r="B257" s="2">
        <v>45748</v>
      </c>
      <c r="C257" t="s">
        <v>24</v>
      </c>
      <c r="D257" t="s">
        <v>21</v>
      </c>
      <c r="E257">
        <v>36290.080000000002</v>
      </c>
      <c r="F257">
        <v>5787</v>
      </c>
      <c r="G257">
        <v>0</v>
      </c>
      <c r="H257">
        <v>17</v>
      </c>
      <c r="I257">
        <v>88.3</v>
      </c>
      <c r="J257">
        <v>4.1900000000000004</v>
      </c>
      <c r="K257">
        <v>0</v>
      </c>
      <c r="L257">
        <v>4.0999999999999996</v>
      </c>
      <c r="M257">
        <v>612390.14</v>
      </c>
      <c r="N257">
        <v>108985.74</v>
      </c>
      <c r="O257">
        <f t="shared" si="18"/>
        <v>0</v>
      </c>
      <c r="P257">
        <f t="shared" si="19"/>
        <v>1</v>
      </c>
      <c r="Q257">
        <f t="shared" si="20"/>
        <v>0</v>
      </c>
      <c r="R257">
        <f t="shared" si="21"/>
        <v>1</v>
      </c>
      <c r="S257">
        <f t="shared" si="22"/>
        <v>0</v>
      </c>
      <c r="T257">
        <f t="shared" si="23"/>
        <v>0</v>
      </c>
    </row>
    <row r="258" spans="1:20">
      <c r="A258" t="s">
        <v>86</v>
      </c>
      <c r="B258" s="2">
        <v>45658</v>
      </c>
      <c r="C258" t="s">
        <v>24</v>
      </c>
      <c r="D258" t="s">
        <v>28</v>
      </c>
      <c r="E258">
        <v>65272.58</v>
      </c>
      <c r="F258">
        <v>8165</v>
      </c>
      <c r="G258">
        <v>5.0999999999999997E-2</v>
      </c>
      <c r="H258">
        <v>19</v>
      </c>
      <c r="I258">
        <v>87.8</v>
      </c>
      <c r="J258">
        <v>1.26</v>
      </c>
      <c r="K258">
        <v>1</v>
      </c>
      <c r="L258">
        <v>4.3</v>
      </c>
      <c r="M258">
        <v>840108.12</v>
      </c>
      <c r="N258">
        <v>126587.01</v>
      </c>
      <c r="O258">
        <f t="shared" si="18"/>
        <v>0</v>
      </c>
      <c r="P258">
        <f t="shared" si="19"/>
        <v>1</v>
      </c>
      <c r="Q258">
        <f t="shared" si="20"/>
        <v>0</v>
      </c>
      <c r="R258">
        <f t="shared" si="21"/>
        <v>0</v>
      </c>
      <c r="S258">
        <f t="shared" si="22"/>
        <v>0</v>
      </c>
      <c r="T258">
        <f t="shared" si="23"/>
        <v>1</v>
      </c>
    </row>
    <row r="259" spans="1:20">
      <c r="A259" t="s">
        <v>86</v>
      </c>
      <c r="B259" s="2">
        <v>45689</v>
      </c>
      <c r="C259" t="s">
        <v>24</v>
      </c>
      <c r="D259" t="s">
        <v>28</v>
      </c>
      <c r="E259">
        <v>28670.43</v>
      </c>
      <c r="F259">
        <v>7574</v>
      </c>
      <c r="G259">
        <v>0.114</v>
      </c>
      <c r="H259">
        <v>19</v>
      </c>
      <c r="I259">
        <v>82.7</v>
      </c>
      <c r="J259">
        <v>2.74</v>
      </c>
      <c r="K259">
        <v>0</v>
      </c>
      <c r="L259">
        <v>4.5999999999999996</v>
      </c>
      <c r="M259">
        <v>697888.09</v>
      </c>
      <c r="N259">
        <v>116249.87</v>
      </c>
      <c r="O259">
        <f t="shared" ref="O259:O321" si="24">IF(C259="North",1,0)</f>
        <v>0</v>
      </c>
      <c r="P259">
        <f t="shared" ref="P259:P321" si="25">IF(C259="South",1,0)</f>
        <v>1</v>
      </c>
      <c r="Q259">
        <f t="shared" ref="Q259:Q321" si="26">IF(C259="West",1,0)</f>
        <v>0</v>
      </c>
      <c r="R259">
        <f t="shared" ref="R259:R321" si="27">IF(D259="Airport",1,0)</f>
        <v>0</v>
      </c>
      <c r="S259">
        <f t="shared" ref="S259:S321" si="28">IF(D259="High Street",1,0)</f>
        <v>0</v>
      </c>
      <c r="T259">
        <f t="shared" ref="T259:T321" si="29">IF(D259="Mall",1,0)</f>
        <v>1</v>
      </c>
    </row>
    <row r="260" spans="1:20">
      <c r="A260" t="s">
        <v>86</v>
      </c>
      <c r="B260" s="2">
        <v>45717</v>
      </c>
      <c r="C260" t="s">
        <v>24</v>
      </c>
      <c r="D260" t="s">
        <v>28</v>
      </c>
      <c r="E260">
        <v>44189.34</v>
      </c>
      <c r="F260">
        <v>8634</v>
      </c>
      <c r="G260">
        <v>0.14299999999999999</v>
      </c>
      <c r="H260">
        <v>19</v>
      </c>
      <c r="I260">
        <v>87.5</v>
      </c>
      <c r="J260">
        <v>3.69</v>
      </c>
      <c r="K260">
        <v>0</v>
      </c>
      <c r="L260">
        <v>4.4000000000000004</v>
      </c>
      <c r="M260">
        <v>746115.59</v>
      </c>
      <c r="N260">
        <v>94662.96</v>
      </c>
      <c r="O260">
        <f t="shared" si="24"/>
        <v>0</v>
      </c>
      <c r="P260">
        <f t="shared" si="25"/>
        <v>1</v>
      </c>
      <c r="Q260">
        <f t="shared" si="26"/>
        <v>0</v>
      </c>
      <c r="R260">
        <f t="shared" si="27"/>
        <v>0</v>
      </c>
      <c r="S260">
        <f t="shared" si="28"/>
        <v>0</v>
      </c>
      <c r="T260">
        <f t="shared" si="29"/>
        <v>1</v>
      </c>
    </row>
    <row r="261" spans="1:20">
      <c r="A261" t="s">
        <v>86</v>
      </c>
      <c r="B261" s="2">
        <v>45748</v>
      </c>
      <c r="C261" t="s">
        <v>24</v>
      </c>
      <c r="D261" t="s">
        <v>28</v>
      </c>
      <c r="E261">
        <v>38397.82</v>
      </c>
      <c r="F261">
        <v>7836</v>
      </c>
      <c r="G261">
        <v>7.0000000000000001E-3</v>
      </c>
      <c r="H261">
        <v>21</v>
      </c>
      <c r="I261">
        <v>92.2</v>
      </c>
      <c r="J261">
        <v>1.82</v>
      </c>
      <c r="K261">
        <v>0</v>
      </c>
      <c r="L261">
        <v>3.6</v>
      </c>
      <c r="M261">
        <v>776110.32</v>
      </c>
      <c r="N261">
        <v>139676.21</v>
      </c>
      <c r="O261">
        <f t="shared" si="24"/>
        <v>0</v>
      </c>
      <c r="P261">
        <f t="shared" si="25"/>
        <v>1</v>
      </c>
      <c r="Q261">
        <f t="shared" si="26"/>
        <v>0</v>
      </c>
      <c r="R261">
        <f t="shared" si="27"/>
        <v>0</v>
      </c>
      <c r="S261">
        <f t="shared" si="28"/>
        <v>0</v>
      </c>
      <c r="T261">
        <f t="shared" si="29"/>
        <v>1</v>
      </c>
    </row>
    <row r="262" spans="1:20">
      <c r="A262" t="s">
        <v>87</v>
      </c>
      <c r="B262" s="2">
        <v>45658</v>
      </c>
      <c r="C262" t="s">
        <v>27</v>
      </c>
      <c r="D262" t="s">
        <v>18</v>
      </c>
      <c r="E262">
        <v>14519.37</v>
      </c>
      <c r="F262">
        <v>3047</v>
      </c>
      <c r="G262">
        <v>0.13500000000000001</v>
      </c>
      <c r="H262">
        <v>10</v>
      </c>
      <c r="I262">
        <v>90.3</v>
      </c>
      <c r="J262">
        <v>6.62</v>
      </c>
      <c r="K262">
        <v>0</v>
      </c>
      <c r="L262">
        <v>4.2</v>
      </c>
      <c r="M262">
        <v>528852.62</v>
      </c>
      <c r="N262">
        <v>68426.210000000006</v>
      </c>
      <c r="O262">
        <f t="shared" si="24"/>
        <v>0</v>
      </c>
      <c r="P262">
        <f t="shared" si="25"/>
        <v>0</v>
      </c>
      <c r="Q262">
        <f t="shared" si="26"/>
        <v>1</v>
      </c>
      <c r="R262">
        <f t="shared" si="27"/>
        <v>0</v>
      </c>
      <c r="S262">
        <f t="shared" si="28"/>
        <v>1</v>
      </c>
      <c r="T262">
        <f t="shared" si="29"/>
        <v>0</v>
      </c>
    </row>
    <row r="263" spans="1:20">
      <c r="A263" t="s">
        <v>87</v>
      </c>
      <c r="B263" s="2">
        <v>45689</v>
      </c>
      <c r="C263" t="s">
        <v>27</v>
      </c>
      <c r="D263" t="s">
        <v>18</v>
      </c>
      <c r="E263">
        <v>43288.2</v>
      </c>
      <c r="F263">
        <v>4783</v>
      </c>
      <c r="G263">
        <v>0.16900000000000001</v>
      </c>
      <c r="H263">
        <v>13</v>
      </c>
      <c r="I263">
        <v>87.3</v>
      </c>
      <c r="J263">
        <v>4.5590445859872624</v>
      </c>
      <c r="K263">
        <v>0</v>
      </c>
      <c r="L263">
        <v>4.2</v>
      </c>
      <c r="M263">
        <v>605751.32999999996</v>
      </c>
      <c r="N263">
        <v>60685.53</v>
      </c>
      <c r="O263">
        <f t="shared" si="24"/>
        <v>0</v>
      </c>
      <c r="P263">
        <f t="shared" si="25"/>
        <v>0</v>
      </c>
      <c r="Q263">
        <f t="shared" si="26"/>
        <v>1</v>
      </c>
      <c r="R263">
        <f t="shared" si="27"/>
        <v>0</v>
      </c>
      <c r="S263">
        <f t="shared" si="28"/>
        <v>1</v>
      </c>
      <c r="T263">
        <f t="shared" si="29"/>
        <v>0</v>
      </c>
    </row>
    <row r="264" spans="1:20">
      <c r="A264" t="s">
        <v>87</v>
      </c>
      <c r="B264" s="2">
        <v>45717</v>
      </c>
      <c r="C264" t="s">
        <v>27</v>
      </c>
      <c r="D264" t="s">
        <v>18</v>
      </c>
      <c r="E264">
        <v>51450.55</v>
      </c>
      <c r="F264">
        <v>4902</v>
      </c>
      <c r="G264">
        <v>8.5999999999999993E-2</v>
      </c>
      <c r="H264">
        <v>11</v>
      </c>
      <c r="I264">
        <v>83.7</v>
      </c>
      <c r="J264">
        <v>6.92</v>
      </c>
      <c r="K264">
        <v>1</v>
      </c>
      <c r="L264">
        <v>4.2</v>
      </c>
      <c r="M264">
        <v>677640.65</v>
      </c>
      <c r="N264">
        <v>111610.89</v>
      </c>
      <c r="O264">
        <f t="shared" si="24"/>
        <v>0</v>
      </c>
      <c r="P264">
        <f t="shared" si="25"/>
        <v>0</v>
      </c>
      <c r="Q264">
        <f t="shared" si="26"/>
        <v>1</v>
      </c>
      <c r="R264">
        <f t="shared" si="27"/>
        <v>0</v>
      </c>
      <c r="S264">
        <f t="shared" si="28"/>
        <v>1</v>
      </c>
      <c r="T264">
        <f t="shared" si="29"/>
        <v>0</v>
      </c>
    </row>
    <row r="265" spans="1:20">
      <c r="A265" t="s">
        <v>87</v>
      </c>
      <c r="B265" s="2">
        <v>45748</v>
      </c>
      <c r="C265" t="s">
        <v>27</v>
      </c>
      <c r="D265" t="s">
        <v>18</v>
      </c>
      <c r="E265">
        <v>58688.26</v>
      </c>
      <c r="F265">
        <v>4022</v>
      </c>
      <c r="G265">
        <v>0.217</v>
      </c>
      <c r="H265">
        <v>12</v>
      </c>
      <c r="I265">
        <v>93.8</v>
      </c>
      <c r="J265">
        <v>11.78</v>
      </c>
      <c r="K265">
        <v>0</v>
      </c>
      <c r="L265">
        <v>3.7</v>
      </c>
      <c r="M265">
        <v>636613.23</v>
      </c>
      <c r="N265">
        <v>78908.350000000006</v>
      </c>
      <c r="O265">
        <f t="shared" si="24"/>
        <v>0</v>
      </c>
      <c r="P265">
        <f t="shared" si="25"/>
        <v>0</v>
      </c>
      <c r="Q265">
        <f t="shared" si="26"/>
        <v>1</v>
      </c>
      <c r="R265">
        <f t="shared" si="27"/>
        <v>0</v>
      </c>
      <c r="S265">
        <f t="shared" si="28"/>
        <v>1</v>
      </c>
      <c r="T265">
        <f t="shared" si="29"/>
        <v>0</v>
      </c>
    </row>
    <row r="266" spans="1:20">
      <c r="A266" t="s">
        <v>88</v>
      </c>
      <c r="B266" s="2">
        <v>45658</v>
      </c>
      <c r="C266" t="s">
        <v>15</v>
      </c>
      <c r="D266" t="s">
        <v>18</v>
      </c>
      <c r="E266">
        <v>58981.91</v>
      </c>
      <c r="F266">
        <v>7324</v>
      </c>
      <c r="G266">
        <v>9.4E-2</v>
      </c>
      <c r="H266">
        <v>15</v>
      </c>
      <c r="I266">
        <v>95.8</v>
      </c>
      <c r="J266">
        <v>0.5</v>
      </c>
      <c r="K266">
        <v>0</v>
      </c>
      <c r="L266">
        <v>3.5</v>
      </c>
      <c r="M266">
        <v>708985.19</v>
      </c>
      <c r="N266">
        <v>125368.16</v>
      </c>
      <c r="O266">
        <f t="shared" si="24"/>
        <v>0</v>
      </c>
      <c r="P266">
        <f t="shared" si="25"/>
        <v>0</v>
      </c>
      <c r="Q266">
        <f t="shared" si="26"/>
        <v>0</v>
      </c>
      <c r="R266">
        <f t="shared" si="27"/>
        <v>0</v>
      </c>
      <c r="S266">
        <f t="shared" si="28"/>
        <v>1</v>
      </c>
      <c r="T266">
        <f t="shared" si="29"/>
        <v>0</v>
      </c>
    </row>
    <row r="267" spans="1:20">
      <c r="A267" t="s">
        <v>88</v>
      </c>
      <c r="B267" s="2">
        <v>45689</v>
      </c>
      <c r="C267" t="s">
        <v>15</v>
      </c>
      <c r="D267" t="s">
        <v>18</v>
      </c>
      <c r="E267">
        <v>73454.539999999994</v>
      </c>
      <c r="F267">
        <v>8129</v>
      </c>
      <c r="G267">
        <v>0.21099999999999999</v>
      </c>
      <c r="H267">
        <v>20</v>
      </c>
      <c r="I267">
        <v>85.2</v>
      </c>
      <c r="J267">
        <v>0.88</v>
      </c>
      <c r="K267">
        <v>0</v>
      </c>
      <c r="L267">
        <v>3.7</v>
      </c>
      <c r="M267">
        <v>767792.94</v>
      </c>
      <c r="N267">
        <v>96235.77</v>
      </c>
      <c r="O267">
        <f t="shared" si="24"/>
        <v>0</v>
      </c>
      <c r="P267">
        <f t="shared" si="25"/>
        <v>0</v>
      </c>
      <c r="Q267">
        <f t="shared" si="26"/>
        <v>0</v>
      </c>
      <c r="R267">
        <f t="shared" si="27"/>
        <v>0</v>
      </c>
      <c r="S267">
        <f t="shared" si="28"/>
        <v>1</v>
      </c>
      <c r="T267">
        <f t="shared" si="29"/>
        <v>0</v>
      </c>
    </row>
    <row r="268" spans="1:20">
      <c r="A268" t="s">
        <v>88</v>
      </c>
      <c r="B268" s="2">
        <v>45717</v>
      </c>
      <c r="C268" t="s">
        <v>15</v>
      </c>
      <c r="D268" t="s">
        <v>18</v>
      </c>
      <c r="E268">
        <v>56602.39</v>
      </c>
      <c r="F268">
        <v>7969</v>
      </c>
      <c r="G268">
        <v>0.17</v>
      </c>
      <c r="H268">
        <v>21</v>
      </c>
      <c r="I268">
        <v>88.3</v>
      </c>
      <c r="J268">
        <v>2.25</v>
      </c>
      <c r="K268">
        <v>0</v>
      </c>
      <c r="L268">
        <v>3.7</v>
      </c>
      <c r="M268">
        <v>745580.51</v>
      </c>
      <c r="N268">
        <v>116273.68</v>
      </c>
      <c r="O268">
        <f t="shared" si="24"/>
        <v>0</v>
      </c>
      <c r="P268">
        <f t="shared" si="25"/>
        <v>0</v>
      </c>
      <c r="Q268">
        <f t="shared" si="26"/>
        <v>0</v>
      </c>
      <c r="R268">
        <f t="shared" si="27"/>
        <v>0</v>
      </c>
      <c r="S268">
        <f t="shared" si="28"/>
        <v>1</v>
      </c>
      <c r="T268">
        <f t="shared" si="29"/>
        <v>0</v>
      </c>
    </row>
    <row r="269" spans="1:20">
      <c r="A269" t="s">
        <v>88</v>
      </c>
      <c r="B269" s="2">
        <v>45748</v>
      </c>
      <c r="C269" t="s">
        <v>15</v>
      </c>
      <c r="D269" t="s">
        <v>18</v>
      </c>
      <c r="E269">
        <v>67722.289999999994</v>
      </c>
      <c r="F269">
        <v>7240</v>
      </c>
      <c r="G269">
        <v>2.5999999999999999E-2</v>
      </c>
      <c r="H269">
        <v>15</v>
      </c>
      <c r="I269">
        <v>92.9</v>
      </c>
      <c r="J269">
        <v>0.28999999999999998</v>
      </c>
      <c r="K269">
        <v>0</v>
      </c>
      <c r="L269">
        <v>3.5</v>
      </c>
      <c r="M269">
        <v>762328.31</v>
      </c>
      <c r="N269">
        <v>159158.19</v>
      </c>
      <c r="O269">
        <f t="shared" si="24"/>
        <v>0</v>
      </c>
      <c r="P269">
        <f t="shared" si="25"/>
        <v>0</v>
      </c>
      <c r="Q269">
        <f t="shared" si="26"/>
        <v>0</v>
      </c>
      <c r="R269">
        <f t="shared" si="27"/>
        <v>0</v>
      </c>
      <c r="S269">
        <f t="shared" si="28"/>
        <v>1</v>
      </c>
      <c r="T269">
        <f t="shared" si="29"/>
        <v>0</v>
      </c>
    </row>
    <row r="270" spans="1:20">
      <c r="A270" t="s">
        <v>89</v>
      </c>
      <c r="B270" s="2">
        <v>45658</v>
      </c>
      <c r="C270" t="s">
        <v>15</v>
      </c>
      <c r="D270" t="s">
        <v>28</v>
      </c>
      <c r="E270">
        <v>48752.92</v>
      </c>
      <c r="F270">
        <v>8052</v>
      </c>
      <c r="G270">
        <v>0.106</v>
      </c>
      <c r="H270">
        <v>16</v>
      </c>
      <c r="I270">
        <v>94.9</v>
      </c>
      <c r="J270">
        <v>0.65</v>
      </c>
      <c r="K270">
        <v>0</v>
      </c>
      <c r="L270">
        <v>3.6</v>
      </c>
      <c r="M270">
        <v>660633.99</v>
      </c>
      <c r="N270">
        <v>118768.66</v>
      </c>
      <c r="O270">
        <f t="shared" si="24"/>
        <v>0</v>
      </c>
      <c r="P270">
        <f t="shared" si="25"/>
        <v>0</v>
      </c>
      <c r="Q270">
        <f t="shared" si="26"/>
        <v>0</v>
      </c>
      <c r="R270">
        <f t="shared" si="27"/>
        <v>0</v>
      </c>
      <c r="S270">
        <f t="shared" si="28"/>
        <v>0</v>
      </c>
      <c r="T270">
        <f t="shared" si="29"/>
        <v>1</v>
      </c>
    </row>
    <row r="271" spans="1:20">
      <c r="A271" t="s">
        <v>89</v>
      </c>
      <c r="B271" s="2">
        <v>45689</v>
      </c>
      <c r="C271" t="s">
        <v>15</v>
      </c>
      <c r="D271" t="s">
        <v>28</v>
      </c>
      <c r="E271">
        <v>23914.97</v>
      </c>
      <c r="F271">
        <v>8018</v>
      </c>
      <c r="G271">
        <v>0.13900000000000001</v>
      </c>
      <c r="H271">
        <v>20</v>
      </c>
      <c r="I271">
        <v>89</v>
      </c>
      <c r="J271">
        <v>0.2</v>
      </c>
      <c r="K271">
        <v>0</v>
      </c>
      <c r="L271">
        <v>3.5</v>
      </c>
      <c r="M271">
        <v>739374.56</v>
      </c>
      <c r="N271">
        <v>121032.29</v>
      </c>
      <c r="O271">
        <f t="shared" si="24"/>
        <v>0</v>
      </c>
      <c r="P271">
        <f t="shared" si="25"/>
        <v>0</v>
      </c>
      <c r="Q271">
        <f t="shared" si="26"/>
        <v>0</v>
      </c>
      <c r="R271">
        <f t="shared" si="27"/>
        <v>0</v>
      </c>
      <c r="S271">
        <f t="shared" si="28"/>
        <v>0</v>
      </c>
      <c r="T271">
        <f t="shared" si="29"/>
        <v>1</v>
      </c>
    </row>
    <row r="272" spans="1:20">
      <c r="A272" t="s">
        <v>89</v>
      </c>
      <c r="B272" s="2">
        <v>45717</v>
      </c>
      <c r="C272" t="s">
        <v>15</v>
      </c>
      <c r="D272" t="s">
        <v>28</v>
      </c>
      <c r="E272">
        <v>61995.3</v>
      </c>
      <c r="F272">
        <v>10192</v>
      </c>
      <c r="G272">
        <v>0.19800000000000001</v>
      </c>
      <c r="H272">
        <v>21</v>
      </c>
      <c r="I272">
        <v>87.6</v>
      </c>
      <c r="J272">
        <v>3.63</v>
      </c>
      <c r="K272">
        <v>1</v>
      </c>
      <c r="L272">
        <v>3.8</v>
      </c>
      <c r="M272">
        <v>799756.46</v>
      </c>
      <c r="N272">
        <v>105052.93</v>
      </c>
      <c r="O272">
        <f t="shared" si="24"/>
        <v>0</v>
      </c>
      <c r="P272">
        <f t="shared" si="25"/>
        <v>0</v>
      </c>
      <c r="Q272">
        <f t="shared" si="26"/>
        <v>0</v>
      </c>
      <c r="R272">
        <f t="shared" si="27"/>
        <v>0</v>
      </c>
      <c r="S272">
        <f t="shared" si="28"/>
        <v>0</v>
      </c>
      <c r="T272">
        <f t="shared" si="29"/>
        <v>1</v>
      </c>
    </row>
    <row r="273" spans="1:20">
      <c r="A273" t="s">
        <v>89</v>
      </c>
      <c r="B273" s="2">
        <v>45748</v>
      </c>
      <c r="C273" t="s">
        <v>15</v>
      </c>
      <c r="D273" t="s">
        <v>28</v>
      </c>
      <c r="E273">
        <v>29344.93</v>
      </c>
      <c r="F273">
        <v>7446</v>
      </c>
      <c r="G273">
        <v>0.111</v>
      </c>
      <c r="H273">
        <v>15</v>
      </c>
      <c r="I273">
        <v>86.2</v>
      </c>
      <c r="J273">
        <v>0.2</v>
      </c>
      <c r="K273">
        <v>0</v>
      </c>
      <c r="L273">
        <v>3.2</v>
      </c>
      <c r="M273">
        <v>593343</v>
      </c>
      <c r="N273">
        <v>82832.240000000005</v>
      </c>
      <c r="O273">
        <f t="shared" si="24"/>
        <v>0</v>
      </c>
      <c r="P273">
        <f t="shared" si="25"/>
        <v>0</v>
      </c>
      <c r="Q273">
        <f t="shared" si="26"/>
        <v>0</v>
      </c>
      <c r="R273">
        <f t="shared" si="27"/>
        <v>0</v>
      </c>
      <c r="S273">
        <f t="shared" si="28"/>
        <v>0</v>
      </c>
      <c r="T273">
        <f t="shared" si="29"/>
        <v>1</v>
      </c>
    </row>
    <row r="274" spans="1:20">
      <c r="A274" t="s">
        <v>90</v>
      </c>
      <c r="B274" s="2">
        <v>45658</v>
      </c>
      <c r="C274" t="s">
        <v>27</v>
      </c>
      <c r="D274" t="s">
        <v>18</v>
      </c>
      <c r="E274">
        <v>50532.17</v>
      </c>
      <c r="F274">
        <v>5689</v>
      </c>
      <c r="G274">
        <v>5.1999999999999998E-2</v>
      </c>
      <c r="H274">
        <v>17</v>
      </c>
      <c r="I274">
        <v>85.6</v>
      </c>
      <c r="J274">
        <v>6.23</v>
      </c>
      <c r="K274">
        <v>0</v>
      </c>
      <c r="L274">
        <v>3.3</v>
      </c>
      <c r="M274">
        <v>645039.97</v>
      </c>
      <c r="N274">
        <v>83093.33</v>
      </c>
      <c r="O274">
        <f t="shared" si="24"/>
        <v>0</v>
      </c>
      <c r="P274">
        <f t="shared" si="25"/>
        <v>0</v>
      </c>
      <c r="Q274">
        <f t="shared" si="26"/>
        <v>1</v>
      </c>
      <c r="R274">
        <f t="shared" si="27"/>
        <v>0</v>
      </c>
      <c r="S274">
        <f t="shared" si="28"/>
        <v>1</v>
      </c>
      <c r="T274">
        <f t="shared" si="29"/>
        <v>0</v>
      </c>
    </row>
    <row r="275" spans="1:20">
      <c r="A275" t="s">
        <v>90</v>
      </c>
      <c r="B275" s="2">
        <v>45689</v>
      </c>
      <c r="C275" t="s">
        <v>27</v>
      </c>
      <c r="D275" t="s">
        <v>18</v>
      </c>
      <c r="E275">
        <v>17562.57</v>
      </c>
      <c r="F275">
        <v>3326</v>
      </c>
      <c r="G275">
        <v>0.153</v>
      </c>
      <c r="H275">
        <v>14</v>
      </c>
      <c r="I275">
        <v>88.1</v>
      </c>
      <c r="J275">
        <v>1.04</v>
      </c>
      <c r="K275">
        <v>0</v>
      </c>
      <c r="L275">
        <v>3.1</v>
      </c>
      <c r="M275">
        <v>561597.32999999996</v>
      </c>
      <c r="N275">
        <v>75072.75</v>
      </c>
      <c r="O275">
        <f t="shared" si="24"/>
        <v>0</v>
      </c>
      <c r="P275">
        <f t="shared" si="25"/>
        <v>0</v>
      </c>
      <c r="Q275">
        <f t="shared" si="26"/>
        <v>1</v>
      </c>
      <c r="R275">
        <f t="shared" si="27"/>
        <v>0</v>
      </c>
      <c r="S275">
        <f t="shared" si="28"/>
        <v>1</v>
      </c>
      <c r="T275">
        <f t="shared" si="29"/>
        <v>0</v>
      </c>
    </row>
    <row r="276" spans="1:20">
      <c r="A276" t="s">
        <v>90</v>
      </c>
      <c r="B276" s="2">
        <v>45717</v>
      </c>
      <c r="C276" t="s">
        <v>27</v>
      </c>
      <c r="D276" t="s">
        <v>18</v>
      </c>
      <c r="E276">
        <v>47648.71</v>
      </c>
      <c r="F276">
        <v>5767</v>
      </c>
      <c r="G276">
        <v>0.14099999999999999</v>
      </c>
      <c r="H276">
        <v>17</v>
      </c>
      <c r="I276">
        <v>89.8</v>
      </c>
      <c r="J276">
        <v>1.76</v>
      </c>
      <c r="K276">
        <v>0</v>
      </c>
      <c r="L276">
        <v>3.1</v>
      </c>
      <c r="M276">
        <v>635837.74</v>
      </c>
      <c r="N276">
        <v>114740.64</v>
      </c>
      <c r="O276">
        <f t="shared" si="24"/>
        <v>0</v>
      </c>
      <c r="P276">
        <f t="shared" si="25"/>
        <v>0</v>
      </c>
      <c r="Q276">
        <f t="shared" si="26"/>
        <v>1</v>
      </c>
      <c r="R276">
        <f t="shared" si="27"/>
        <v>0</v>
      </c>
      <c r="S276">
        <f t="shared" si="28"/>
        <v>1</v>
      </c>
      <c r="T276">
        <f t="shared" si="29"/>
        <v>0</v>
      </c>
    </row>
    <row r="277" spans="1:20">
      <c r="A277" t="s">
        <v>90</v>
      </c>
      <c r="B277" s="2">
        <v>45748</v>
      </c>
      <c r="C277" t="s">
        <v>27</v>
      </c>
      <c r="D277" t="s">
        <v>18</v>
      </c>
      <c r="E277">
        <v>38297.58</v>
      </c>
      <c r="F277">
        <v>5893</v>
      </c>
      <c r="G277">
        <v>0.247</v>
      </c>
      <c r="H277">
        <v>18</v>
      </c>
      <c r="I277">
        <v>77.599999999999994</v>
      </c>
      <c r="J277">
        <v>2.86</v>
      </c>
      <c r="K277">
        <v>0</v>
      </c>
      <c r="L277">
        <v>3</v>
      </c>
      <c r="M277">
        <v>686737.87</v>
      </c>
      <c r="N277">
        <v>83839.67</v>
      </c>
      <c r="O277">
        <f t="shared" si="24"/>
        <v>0</v>
      </c>
      <c r="P277">
        <f t="shared" si="25"/>
        <v>0</v>
      </c>
      <c r="Q277">
        <f t="shared" si="26"/>
        <v>1</v>
      </c>
      <c r="R277">
        <f t="shared" si="27"/>
        <v>0</v>
      </c>
      <c r="S277">
        <f t="shared" si="28"/>
        <v>1</v>
      </c>
      <c r="T277">
        <f t="shared" si="29"/>
        <v>0</v>
      </c>
    </row>
    <row r="278" spans="1:20">
      <c r="A278" t="s">
        <v>91</v>
      </c>
      <c r="B278" s="2">
        <v>45658</v>
      </c>
      <c r="C278" t="s">
        <v>24</v>
      </c>
      <c r="D278" t="s">
        <v>16</v>
      </c>
      <c r="E278">
        <v>61784.11</v>
      </c>
      <c r="F278">
        <v>8564</v>
      </c>
      <c r="G278">
        <v>0.13</v>
      </c>
      <c r="H278">
        <v>17</v>
      </c>
      <c r="I278">
        <v>87.4</v>
      </c>
      <c r="J278">
        <v>18.14</v>
      </c>
      <c r="K278">
        <v>1</v>
      </c>
      <c r="L278">
        <v>3.4</v>
      </c>
      <c r="M278">
        <v>673076.34</v>
      </c>
      <c r="N278">
        <v>93899.76</v>
      </c>
      <c r="O278">
        <f t="shared" si="24"/>
        <v>0</v>
      </c>
      <c r="P278">
        <f t="shared" si="25"/>
        <v>1</v>
      </c>
      <c r="Q278">
        <f t="shared" si="26"/>
        <v>0</v>
      </c>
      <c r="R278">
        <f t="shared" si="27"/>
        <v>0</v>
      </c>
      <c r="S278">
        <f t="shared" si="28"/>
        <v>0</v>
      </c>
      <c r="T278">
        <f t="shared" si="29"/>
        <v>0</v>
      </c>
    </row>
    <row r="279" spans="1:20">
      <c r="A279" t="s">
        <v>91</v>
      </c>
      <c r="B279" s="2">
        <v>45689</v>
      </c>
      <c r="C279" t="s">
        <v>24</v>
      </c>
      <c r="D279" t="s">
        <v>16</v>
      </c>
      <c r="E279">
        <v>36832.33</v>
      </c>
      <c r="F279">
        <v>8001</v>
      </c>
      <c r="G279">
        <v>0</v>
      </c>
      <c r="H279">
        <v>19</v>
      </c>
      <c r="I279">
        <v>88.7</v>
      </c>
      <c r="J279">
        <v>3.39</v>
      </c>
      <c r="K279">
        <v>0</v>
      </c>
      <c r="L279">
        <v>4</v>
      </c>
      <c r="M279">
        <v>738548.42</v>
      </c>
      <c r="N279">
        <v>134282.76999999999</v>
      </c>
      <c r="O279">
        <f t="shared" si="24"/>
        <v>0</v>
      </c>
      <c r="P279">
        <f t="shared" si="25"/>
        <v>1</v>
      </c>
      <c r="Q279">
        <f t="shared" si="26"/>
        <v>0</v>
      </c>
      <c r="R279">
        <f t="shared" si="27"/>
        <v>0</v>
      </c>
      <c r="S279">
        <f t="shared" si="28"/>
        <v>0</v>
      </c>
      <c r="T279">
        <f t="shared" si="29"/>
        <v>0</v>
      </c>
    </row>
    <row r="280" spans="1:20">
      <c r="A280" t="s">
        <v>91</v>
      </c>
      <c r="B280" s="2">
        <v>45717</v>
      </c>
      <c r="C280" t="s">
        <v>24</v>
      </c>
      <c r="D280" t="s">
        <v>16</v>
      </c>
      <c r="E280">
        <v>48609.41</v>
      </c>
      <c r="F280">
        <v>9324</v>
      </c>
      <c r="G280">
        <v>0.21299999999999999</v>
      </c>
      <c r="H280">
        <v>18</v>
      </c>
      <c r="I280">
        <v>86.5</v>
      </c>
      <c r="J280">
        <v>1.44</v>
      </c>
      <c r="K280">
        <v>0</v>
      </c>
      <c r="L280">
        <v>3.9</v>
      </c>
      <c r="M280">
        <v>756619.77</v>
      </c>
      <c r="N280">
        <v>112057.69</v>
      </c>
      <c r="O280">
        <f t="shared" si="24"/>
        <v>0</v>
      </c>
      <c r="P280">
        <f t="shared" si="25"/>
        <v>1</v>
      </c>
      <c r="Q280">
        <f t="shared" si="26"/>
        <v>0</v>
      </c>
      <c r="R280">
        <f t="shared" si="27"/>
        <v>0</v>
      </c>
      <c r="S280">
        <f t="shared" si="28"/>
        <v>0</v>
      </c>
      <c r="T280">
        <f t="shared" si="29"/>
        <v>0</v>
      </c>
    </row>
    <row r="281" spans="1:20">
      <c r="A281" t="s">
        <v>91</v>
      </c>
      <c r="B281" s="2">
        <v>45748</v>
      </c>
      <c r="C281" t="s">
        <v>24</v>
      </c>
      <c r="D281" t="s">
        <v>16</v>
      </c>
      <c r="E281">
        <v>70284.06</v>
      </c>
      <c r="F281">
        <v>9109</v>
      </c>
      <c r="G281">
        <v>4.0000000000000001E-3</v>
      </c>
      <c r="H281">
        <v>23</v>
      </c>
      <c r="I281">
        <v>87</v>
      </c>
      <c r="J281">
        <v>3.65</v>
      </c>
      <c r="K281">
        <v>0</v>
      </c>
      <c r="L281">
        <v>3.7</v>
      </c>
      <c r="M281">
        <v>761122.42</v>
      </c>
      <c r="N281">
        <v>149802.04</v>
      </c>
      <c r="O281">
        <f t="shared" si="24"/>
        <v>0</v>
      </c>
      <c r="P281">
        <f t="shared" si="25"/>
        <v>1</v>
      </c>
      <c r="Q281">
        <f t="shared" si="26"/>
        <v>0</v>
      </c>
      <c r="R281">
        <f t="shared" si="27"/>
        <v>0</v>
      </c>
      <c r="S281">
        <f t="shared" si="28"/>
        <v>0</v>
      </c>
      <c r="T281">
        <f t="shared" si="29"/>
        <v>0</v>
      </c>
    </row>
    <row r="282" spans="1:20">
      <c r="A282" t="s">
        <v>92</v>
      </c>
      <c r="B282" s="2">
        <v>45658</v>
      </c>
      <c r="C282" t="s">
        <v>24</v>
      </c>
      <c r="D282" t="s">
        <v>18</v>
      </c>
      <c r="E282">
        <v>45940.39</v>
      </c>
      <c r="F282">
        <v>4022</v>
      </c>
      <c r="G282">
        <v>6.9000000000000006E-2</v>
      </c>
      <c r="H282">
        <v>10</v>
      </c>
      <c r="I282">
        <v>83</v>
      </c>
      <c r="J282">
        <v>1.23</v>
      </c>
      <c r="K282">
        <v>1</v>
      </c>
      <c r="L282">
        <v>3.8</v>
      </c>
      <c r="M282">
        <v>524899.56999999995</v>
      </c>
      <c r="N282">
        <v>63619.98</v>
      </c>
      <c r="O282">
        <f t="shared" si="24"/>
        <v>0</v>
      </c>
      <c r="P282">
        <f t="shared" si="25"/>
        <v>1</v>
      </c>
      <c r="Q282">
        <f t="shared" si="26"/>
        <v>0</v>
      </c>
      <c r="R282">
        <f t="shared" si="27"/>
        <v>0</v>
      </c>
      <c r="S282">
        <f t="shared" si="28"/>
        <v>1</v>
      </c>
      <c r="T282">
        <f t="shared" si="29"/>
        <v>0</v>
      </c>
    </row>
    <row r="283" spans="1:20">
      <c r="A283" t="s">
        <v>92</v>
      </c>
      <c r="B283" s="2">
        <v>45689</v>
      </c>
      <c r="C283" t="s">
        <v>24</v>
      </c>
      <c r="D283" t="s">
        <v>18</v>
      </c>
      <c r="E283">
        <v>34771.26</v>
      </c>
      <c r="F283">
        <v>4355</v>
      </c>
      <c r="G283">
        <v>5.0999999999999997E-2</v>
      </c>
      <c r="H283">
        <v>15</v>
      </c>
      <c r="I283">
        <v>87.9</v>
      </c>
      <c r="J283">
        <v>3.09</v>
      </c>
      <c r="K283">
        <v>0</v>
      </c>
      <c r="L283">
        <v>4</v>
      </c>
      <c r="M283">
        <v>555557.77</v>
      </c>
      <c r="N283">
        <v>86475.51</v>
      </c>
      <c r="O283">
        <f t="shared" si="24"/>
        <v>0</v>
      </c>
      <c r="P283">
        <f t="shared" si="25"/>
        <v>1</v>
      </c>
      <c r="Q283">
        <f t="shared" si="26"/>
        <v>0</v>
      </c>
      <c r="R283">
        <f t="shared" si="27"/>
        <v>0</v>
      </c>
      <c r="S283">
        <f t="shared" si="28"/>
        <v>1</v>
      </c>
      <c r="T283">
        <f t="shared" si="29"/>
        <v>0</v>
      </c>
    </row>
    <row r="284" spans="1:20">
      <c r="A284" t="s">
        <v>92</v>
      </c>
      <c r="B284" s="2">
        <v>45717</v>
      </c>
      <c r="C284" t="s">
        <v>24</v>
      </c>
      <c r="D284" t="s">
        <v>18</v>
      </c>
      <c r="E284">
        <v>66104.19</v>
      </c>
      <c r="F284">
        <v>5745</v>
      </c>
      <c r="G284">
        <v>7.0000000000000007E-2</v>
      </c>
      <c r="H284">
        <v>17</v>
      </c>
      <c r="I284">
        <v>95.8</v>
      </c>
      <c r="J284">
        <v>3.15</v>
      </c>
      <c r="K284">
        <v>0</v>
      </c>
      <c r="L284">
        <v>4</v>
      </c>
      <c r="M284">
        <v>714083.68</v>
      </c>
      <c r="N284">
        <v>127231.74</v>
      </c>
      <c r="O284">
        <f t="shared" si="24"/>
        <v>0</v>
      </c>
      <c r="P284">
        <f t="shared" si="25"/>
        <v>1</v>
      </c>
      <c r="Q284">
        <f t="shared" si="26"/>
        <v>0</v>
      </c>
      <c r="R284">
        <f t="shared" si="27"/>
        <v>0</v>
      </c>
      <c r="S284">
        <f t="shared" si="28"/>
        <v>1</v>
      </c>
      <c r="T284">
        <f t="shared" si="29"/>
        <v>0</v>
      </c>
    </row>
    <row r="285" spans="1:20">
      <c r="A285" t="s">
        <v>92</v>
      </c>
      <c r="B285" s="2">
        <v>45748</v>
      </c>
      <c r="C285" t="s">
        <v>24</v>
      </c>
      <c r="D285" t="s">
        <v>18</v>
      </c>
      <c r="E285">
        <v>18599.21</v>
      </c>
      <c r="F285">
        <v>3027</v>
      </c>
      <c r="G285">
        <v>0.122</v>
      </c>
      <c r="H285">
        <v>11</v>
      </c>
      <c r="I285">
        <v>80.900000000000006</v>
      </c>
      <c r="J285">
        <v>6.44</v>
      </c>
      <c r="K285">
        <v>0</v>
      </c>
      <c r="L285">
        <v>4.2</v>
      </c>
      <c r="M285">
        <v>497439.82</v>
      </c>
      <c r="N285">
        <v>93372.75</v>
      </c>
      <c r="O285">
        <f t="shared" si="24"/>
        <v>0</v>
      </c>
      <c r="P285">
        <f t="shared" si="25"/>
        <v>1</v>
      </c>
      <c r="Q285">
        <f t="shared" si="26"/>
        <v>0</v>
      </c>
      <c r="R285">
        <f t="shared" si="27"/>
        <v>0</v>
      </c>
      <c r="S285">
        <f t="shared" si="28"/>
        <v>1</v>
      </c>
      <c r="T285">
        <f t="shared" si="29"/>
        <v>0</v>
      </c>
    </row>
    <row r="286" spans="1:20">
      <c r="A286" t="s">
        <v>93</v>
      </c>
      <c r="B286" s="2">
        <v>45658</v>
      </c>
      <c r="C286" t="s">
        <v>27</v>
      </c>
      <c r="D286" t="s">
        <v>16</v>
      </c>
      <c r="E286">
        <v>60183.06</v>
      </c>
      <c r="F286">
        <v>5562</v>
      </c>
      <c r="G286">
        <v>8.9999999999999993E-3</v>
      </c>
      <c r="H286">
        <v>13</v>
      </c>
      <c r="I286">
        <v>86.3</v>
      </c>
      <c r="J286">
        <v>0.2</v>
      </c>
      <c r="K286">
        <v>1</v>
      </c>
      <c r="L286">
        <v>4.5</v>
      </c>
      <c r="M286">
        <v>636775.66</v>
      </c>
      <c r="N286">
        <v>122636.86</v>
      </c>
      <c r="O286">
        <f t="shared" si="24"/>
        <v>0</v>
      </c>
      <c r="P286">
        <f t="shared" si="25"/>
        <v>0</v>
      </c>
      <c r="Q286">
        <f t="shared" si="26"/>
        <v>1</v>
      </c>
      <c r="R286">
        <f t="shared" si="27"/>
        <v>0</v>
      </c>
      <c r="S286">
        <f t="shared" si="28"/>
        <v>0</v>
      </c>
      <c r="T286">
        <f t="shared" si="29"/>
        <v>0</v>
      </c>
    </row>
    <row r="287" spans="1:20">
      <c r="A287" t="s">
        <v>93</v>
      </c>
      <c r="B287" s="2">
        <v>45689</v>
      </c>
      <c r="C287" t="s">
        <v>27</v>
      </c>
      <c r="D287" t="s">
        <v>16</v>
      </c>
      <c r="E287">
        <v>74539.14</v>
      </c>
      <c r="F287">
        <v>4487</v>
      </c>
      <c r="G287">
        <v>0.14000000000000001</v>
      </c>
      <c r="H287">
        <v>10</v>
      </c>
      <c r="I287">
        <v>90.4</v>
      </c>
      <c r="J287">
        <v>0.59</v>
      </c>
      <c r="K287">
        <v>0</v>
      </c>
      <c r="L287">
        <v>4.5</v>
      </c>
      <c r="M287">
        <v>633009.53</v>
      </c>
      <c r="N287">
        <v>123782.67</v>
      </c>
      <c r="O287">
        <f t="shared" si="24"/>
        <v>0</v>
      </c>
      <c r="P287">
        <f t="shared" si="25"/>
        <v>0</v>
      </c>
      <c r="Q287">
        <f t="shared" si="26"/>
        <v>1</v>
      </c>
      <c r="R287">
        <f t="shared" si="27"/>
        <v>0</v>
      </c>
      <c r="S287">
        <f t="shared" si="28"/>
        <v>0</v>
      </c>
      <c r="T287">
        <f t="shared" si="29"/>
        <v>0</v>
      </c>
    </row>
    <row r="288" spans="1:20">
      <c r="A288" t="s">
        <v>93</v>
      </c>
      <c r="B288" s="2">
        <v>45717</v>
      </c>
      <c r="C288" t="s">
        <v>27</v>
      </c>
      <c r="D288" t="s">
        <v>16</v>
      </c>
      <c r="E288">
        <v>55371.97</v>
      </c>
      <c r="F288">
        <v>4162</v>
      </c>
      <c r="G288">
        <v>0.183</v>
      </c>
      <c r="H288">
        <v>11</v>
      </c>
      <c r="I288">
        <v>92</v>
      </c>
      <c r="J288">
        <v>0.2</v>
      </c>
      <c r="K288">
        <v>1</v>
      </c>
      <c r="L288">
        <v>4.2</v>
      </c>
      <c r="M288">
        <v>609949</v>
      </c>
      <c r="N288">
        <v>126789.25</v>
      </c>
      <c r="O288">
        <f t="shared" si="24"/>
        <v>0</v>
      </c>
      <c r="P288">
        <f t="shared" si="25"/>
        <v>0</v>
      </c>
      <c r="Q288">
        <f t="shared" si="26"/>
        <v>1</v>
      </c>
      <c r="R288">
        <f t="shared" si="27"/>
        <v>0</v>
      </c>
      <c r="S288">
        <f t="shared" si="28"/>
        <v>0</v>
      </c>
      <c r="T288">
        <f t="shared" si="29"/>
        <v>0</v>
      </c>
    </row>
    <row r="289" spans="1:20">
      <c r="A289" t="s">
        <v>93</v>
      </c>
      <c r="B289" s="2">
        <v>45748</v>
      </c>
      <c r="C289" t="s">
        <v>27</v>
      </c>
      <c r="D289" t="s">
        <v>16</v>
      </c>
      <c r="E289">
        <v>40928.69</v>
      </c>
      <c r="F289">
        <v>4094</v>
      </c>
      <c r="G289">
        <v>0.17399999999999999</v>
      </c>
      <c r="H289">
        <v>13</v>
      </c>
      <c r="I289">
        <v>82.4</v>
      </c>
      <c r="J289">
        <v>1.36</v>
      </c>
      <c r="K289">
        <v>0</v>
      </c>
      <c r="L289">
        <v>4.8</v>
      </c>
      <c r="M289">
        <v>548103.69999999995</v>
      </c>
      <c r="N289">
        <v>99905.52</v>
      </c>
      <c r="O289">
        <f t="shared" si="24"/>
        <v>0</v>
      </c>
      <c r="P289">
        <f t="shared" si="25"/>
        <v>0</v>
      </c>
      <c r="Q289">
        <f t="shared" si="26"/>
        <v>1</v>
      </c>
      <c r="R289">
        <f t="shared" si="27"/>
        <v>0</v>
      </c>
      <c r="S289">
        <f t="shared" si="28"/>
        <v>0</v>
      </c>
      <c r="T289">
        <f t="shared" si="29"/>
        <v>0</v>
      </c>
    </row>
    <row r="290" spans="1:20">
      <c r="A290" t="s">
        <v>94</v>
      </c>
      <c r="B290" s="2">
        <v>45658</v>
      </c>
      <c r="C290" t="s">
        <v>15</v>
      </c>
      <c r="D290" t="s">
        <v>16</v>
      </c>
      <c r="E290">
        <v>70012.41</v>
      </c>
      <c r="F290">
        <v>8484</v>
      </c>
      <c r="G290">
        <v>0.27300000000000002</v>
      </c>
      <c r="H290">
        <v>23</v>
      </c>
      <c r="I290">
        <v>72.900000000000006</v>
      </c>
      <c r="J290">
        <v>3.34</v>
      </c>
      <c r="K290">
        <v>0</v>
      </c>
      <c r="L290">
        <v>3.7</v>
      </c>
      <c r="M290">
        <v>729424.42</v>
      </c>
      <c r="N290">
        <v>75592.28</v>
      </c>
      <c r="O290">
        <f t="shared" si="24"/>
        <v>0</v>
      </c>
      <c r="P290">
        <f t="shared" si="25"/>
        <v>0</v>
      </c>
      <c r="Q290">
        <f t="shared" si="26"/>
        <v>0</v>
      </c>
      <c r="R290">
        <f t="shared" si="27"/>
        <v>0</v>
      </c>
      <c r="S290">
        <f t="shared" si="28"/>
        <v>0</v>
      </c>
      <c r="T290">
        <f t="shared" si="29"/>
        <v>0</v>
      </c>
    </row>
    <row r="291" spans="1:20">
      <c r="A291" t="s">
        <v>94</v>
      </c>
      <c r="B291" s="2">
        <v>45689</v>
      </c>
      <c r="C291" t="s">
        <v>15</v>
      </c>
      <c r="D291" t="s">
        <v>16</v>
      </c>
      <c r="E291">
        <v>68909.259999999995</v>
      </c>
      <c r="F291">
        <v>7794</v>
      </c>
      <c r="G291">
        <v>0.28399999999999997</v>
      </c>
      <c r="H291">
        <v>22</v>
      </c>
      <c r="I291">
        <v>89</v>
      </c>
      <c r="J291">
        <v>0.33</v>
      </c>
      <c r="K291">
        <v>0</v>
      </c>
      <c r="L291">
        <v>4</v>
      </c>
      <c r="M291">
        <v>696261.49</v>
      </c>
      <c r="N291">
        <v>72455.350000000006</v>
      </c>
      <c r="O291">
        <f t="shared" si="24"/>
        <v>0</v>
      </c>
      <c r="P291">
        <f t="shared" si="25"/>
        <v>0</v>
      </c>
      <c r="Q291">
        <f t="shared" si="26"/>
        <v>0</v>
      </c>
      <c r="R291">
        <f t="shared" si="27"/>
        <v>0</v>
      </c>
      <c r="S291">
        <f t="shared" si="28"/>
        <v>0</v>
      </c>
      <c r="T291">
        <f t="shared" si="29"/>
        <v>0</v>
      </c>
    </row>
    <row r="292" spans="1:20">
      <c r="A292" t="s">
        <v>94</v>
      </c>
      <c r="B292" s="2">
        <v>45717</v>
      </c>
      <c r="C292" t="s">
        <v>15</v>
      </c>
      <c r="D292" t="s">
        <v>16</v>
      </c>
      <c r="E292">
        <v>56737.3</v>
      </c>
      <c r="F292">
        <v>8300</v>
      </c>
      <c r="G292">
        <v>3.2000000000000001E-2</v>
      </c>
      <c r="H292">
        <v>21</v>
      </c>
      <c r="I292">
        <v>83.2</v>
      </c>
      <c r="J292">
        <v>3.44</v>
      </c>
      <c r="K292">
        <v>1</v>
      </c>
      <c r="L292">
        <v>4.3</v>
      </c>
      <c r="M292">
        <v>813316.71</v>
      </c>
      <c r="N292">
        <v>110077.42</v>
      </c>
      <c r="O292">
        <f t="shared" si="24"/>
        <v>0</v>
      </c>
      <c r="P292">
        <f t="shared" si="25"/>
        <v>0</v>
      </c>
      <c r="Q292">
        <f t="shared" si="26"/>
        <v>0</v>
      </c>
      <c r="R292">
        <f t="shared" si="27"/>
        <v>0</v>
      </c>
      <c r="S292">
        <f t="shared" si="28"/>
        <v>0</v>
      </c>
      <c r="T292">
        <f t="shared" si="29"/>
        <v>0</v>
      </c>
    </row>
    <row r="293" spans="1:20">
      <c r="A293" t="s">
        <v>94</v>
      </c>
      <c r="B293" s="2">
        <v>45748</v>
      </c>
      <c r="C293" t="s">
        <v>15</v>
      </c>
      <c r="D293" t="s">
        <v>16</v>
      </c>
      <c r="E293">
        <v>54080.91</v>
      </c>
      <c r="F293">
        <v>7083</v>
      </c>
      <c r="G293">
        <v>0</v>
      </c>
      <c r="H293">
        <v>15</v>
      </c>
      <c r="I293">
        <v>97</v>
      </c>
      <c r="J293">
        <v>5.33</v>
      </c>
      <c r="K293">
        <v>0</v>
      </c>
      <c r="L293">
        <v>4.0999999999999996</v>
      </c>
      <c r="M293">
        <v>702068.92</v>
      </c>
      <c r="N293">
        <v>111266.63</v>
      </c>
      <c r="O293">
        <f t="shared" si="24"/>
        <v>0</v>
      </c>
      <c r="P293">
        <f t="shared" si="25"/>
        <v>0</v>
      </c>
      <c r="Q293">
        <f t="shared" si="26"/>
        <v>0</v>
      </c>
      <c r="R293">
        <f t="shared" si="27"/>
        <v>0</v>
      </c>
      <c r="S293">
        <f t="shared" si="28"/>
        <v>0</v>
      </c>
      <c r="T293">
        <f t="shared" si="29"/>
        <v>0</v>
      </c>
    </row>
    <row r="294" spans="1:20">
      <c r="A294" t="s">
        <v>95</v>
      </c>
      <c r="B294" s="2">
        <v>45658</v>
      </c>
      <c r="C294" t="s">
        <v>27</v>
      </c>
      <c r="D294" t="s">
        <v>18</v>
      </c>
      <c r="E294">
        <v>51996.32</v>
      </c>
      <c r="F294">
        <v>3834</v>
      </c>
      <c r="G294">
        <v>9.6000000000000002E-2</v>
      </c>
      <c r="H294">
        <v>8</v>
      </c>
      <c r="I294">
        <v>86.7</v>
      </c>
      <c r="J294">
        <v>6.04</v>
      </c>
      <c r="K294">
        <v>0</v>
      </c>
      <c r="L294">
        <v>4.5</v>
      </c>
      <c r="M294">
        <v>546223.69999999995</v>
      </c>
      <c r="N294">
        <v>100769.17</v>
      </c>
      <c r="O294">
        <f t="shared" si="24"/>
        <v>0</v>
      </c>
      <c r="P294">
        <f t="shared" si="25"/>
        <v>0</v>
      </c>
      <c r="Q294">
        <f t="shared" si="26"/>
        <v>1</v>
      </c>
      <c r="R294">
        <f t="shared" si="27"/>
        <v>0</v>
      </c>
      <c r="S294">
        <f t="shared" si="28"/>
        <v>1</v>
      </c>
      <c r="T294">
        <f t="shared" si="29"/>
        <v>0</v>
      </c>
    </row>
    <row r="295" spans="1:20">
      <c r="A295" t="s">
        <v>95</v>
      </c>
      <c r="B295" s="2">
        <v>45689</v>
      </c>
      <c r="C295" t="s">
        <v>27</v>
      </c>
      <c r="D295" t="s">
        <v>18</v>
      </c>
      <c r="E295">
        <v>40102.879999999997</v>
      </c>
      <c r="F295">
        <v>2358</v>
      </c>
      <c r="G295">
        <v>0.11899999999999999</v>
      </c>
      <c r="H295">
        <v>9</v>
      </c>
      <c r="I295">
        <v>88.7</v>
      </c>
      <c r="J295">
        <v>1.6</v>
      </c>
      <c r="K295">
        <v>0</v>
      </c>
      <c r="L295">
        <v>4.2</v>
      </c>
      <c r="M295">
        <v>533121.26</v>
      </c>
      <c r="N295">
        <v>55063.39</v>
      </c>
      <c r="O295">
        <f t="shared" si="24"/>
        <v>0</v>
      </c>
      <c r="P295">
        <f t="shared" si="25"/>
        <v>0</v>
      </c>
      <c r="Q295">
        <f t="shared" si="26"/>
        <v>1</v>
      </c>
      <c r="R295">
        <f t="shared" si="27"/>
        <v>0</v>
      </c>
      <c r="S295">
        <f t="shared" si="28"/>
        <v>1</v>
      </c>
      <c r="T295">
        <f t="shared" si="29"/>
        <v>0</v>
      </c>
    </row>
    <row r="296" spans="1:20">
      <c r="A296" t="s">
        <v>95</v>
      </c>
      <c r="B296" s="2">
        <v>45717</v>
      </c>
      <c r="C296" t="s">
        <v>27</v>
      </c>
      <c r="D296" t="s">
        <v>18</v>
      </c>
      <c r="E296">
        <v>59825.51</v>
      </c>
      <c r="F296">
        <v>1231</v>
      </c>
      <c r="G296">
        <v>0.214</v>
      </c>
      <c r="H296">
        <v>10</v>
      </c>
      <c r="I296">
        <v>84.8</v>
      </c>
      <c r="J296">
        <v>8.9600000000000009</v>
      </c>
      <c r="K296">
        <v>0</v>
      </c>
      <c r="L296">
        <v>4.7</v>
      </c>
      <c r="M296">
        <v>498970.32</v>
      </c>
      <c r="N296">
        <v>69656.7</v>
      </c>
      <c r="O296">
        <f t="shared" si="24"/>
        <v>0</v>
      </c>
      <c r="P296">
        <f t="shared" si="25"/>
        <v>0</v>
      </c>
      <c r="Q296">
        <f t="shared" si="26"/>
        <v>1</v>
      </c>
      <c r="R296">
        <f t="shared" si="27"/>
        <v>0</v>
      </c>
      <c r="S296">
        <f t="shared" si="28"/>
        <v>1</v>
      </c>
      <c r="T296">
        <f t="shared" si="29"/>
        <v>0</v>
      </c>
    </row>
    <row r="297" spans="1:20">
      <c r="A297" t="s">
        <v>95</v>
      </c>
      <c r="B297" s="2">
        <v>45748</v>
      </c>
      <c r="C297" t="s">
        <v>27</v>
      </c>
      <c r="D297" t="s">
        <v>18</v>
      </c>
      <c r="E297">
        <v>27398.28</v>
      </c>
      <c r="F297">
        <v>1723</v>
      </c>
      <c r="G297">
        <v>0.17100000000000001</v>
      </c>
      <c r="H297">
        <v>9</v>
      </c>
      <c r="I297">
        <v>81</v>
      </c>
      <c r="J297">
        <v>0.74</v>
      </c>
      <c r="K297">
        <v>0</v>
      </c>
      <c r="L297">
        <v>4.5999999999999996</v>
      </c>
      <c r="M297">
        <v>487738.26</v>
      </c>
      <c r="N297">
        <v>96435.6</v>
      </c>
      <c r="O297">
        <f t="shared" si="24"/>
        <v>0</v>
      </c>
      <c r="P297">
        <f t="shared" si="25"/>
        <v>0</v>
      </c>
      <c r="Q297">
        <f t="shared" si="26"/>
        <v>1</v>
      </c>
      <c r="R297">
        <f t="shared" si="27"/>
        <v>0</v>
      </c>
      <c r="S297">
        <f t="shared" si="28"/>
        <v>1</v>
      </c>
      <c r="T297">
        <f t="shared" si="29"/>
        <v>0</v>
      </c>
    </row>
    <row r="298" spans="1:20">
      <c r="A298" t="s">
        <v>96</v>
      </c>
      <c r="B298" s="2">
        <v>45658</v>
      </c>
      <c r="C298" t="s">
        <v>27</v>
      </c>
      <c r="D298" t="s">
        <v>18</v>
      </c>
      <c r="E298">
        <v>55599.56</v>
      </c>
      <c r="F298">
        <v>5896</v>
      </c>
      <c r="G298">
        <v>3.5999999999999997E-2</v>
      </c>
      <c r="H298">
        <v>12</v>
      </c>
      <c r="I298">
        <v>93.1</v>
      </c>
      <c r="J298">
        <v>6.13</v>
      </c>
      <c r="K298">
        <v>0</v>
      </c>
      <c r="L298">
        <v>3.3</v>
      </c>
      <c r="M298">
        <v>668459.37</v>
      </c>
      <c r="N298">
        <v>126435.42</v>
      </c>
      <c r="O298">
        <f t="shared" si="24"/>
        <v>0</v>
      </c>
      <c r="P298">
        <f t="shared" si="25"/>
        <v>0</v>
      </c>
      <c r="Q298">
        <f t="shared" si="26"/>
        <v>1</v>
      </c>
      <c r="R298">
        <f t="shared" si="27"/>
        <v>0</v>
      </c>
      <c r="S298">
        <f t="shared" si="28"/>
        <v>1</v>
      </c>
      <c r="T298">
        <f t="shared" si="29"/>
        <v>0</v>
      </c>
    </row>
    <row r="299" spans="1:20">
      <c r="A299" t="s">
        <v>96</v>
      </c>
      <c r="B299" s="2">
        <v>45689</v>
      </c>
      <c r="C299" t="s">
        <v>27</v>
      </c>
      <c r="D299" t="s">
        <v>18</v>
      </c>
      <c r="E299">
        <v>55477.61</v>
      </c>
      <c r="F299">
        <v>5903</v>
      </c>
      <c r="G299">
        <v>0.10199999999999999</v>
      </c>
      <c r="H299">
        <v>14</v>
      </c>
      <c r="I299">
        <v>96.2</v>
      </c>
      <c r="J299">
        <v>1.41</v>
      </c>
      <c r="K299">
        <v>0</v>
      </c>
      <c r="L299">
        <v>3.3</v>
      </c>
      <c r="M299">
        <v>763162.45</v>
      </c>
      <c r="N299">
        <v>162524.04999999999</v>
      </c>
      <c r="O299">
        <f t="shared" si="24"/>
        <v>0</v>
      </c>
      <c r="P299">
        <f t="shared" si="25"/>
        <v>0</v>
      </c>
      <c r="Q299">
        <f t="shared" si="26"/>
        <v>1</v>
      </c>
      <c r="R299">
        <f t="shared" si="27"/>
        <v>0</v>
      </c>
      <c r="S299">
        <f t="shared" si="28"/>
        <v>1</v>
      </c>
      <c r="T299">
        <f t="shared" si="29"/>
        <v>0</v>
      </c>
    </row>
    <row r="300" spans="1:20">
      <c r="A300" t="s">
        <v>96</v>
      </c>
      <c r="B300" s="2">
        <v>45717</v>
      </c>
      <c r="C300" t="s">
        <v>27</v>
      </c>
      <c r="D300" t="s">
        <v>18</v>
      </c>
      <c r="E300">
        <v>46174.7</v>
      </c>
      <c r="F300">
        <v>4898</v>
      </c>
      <c r="G300">
        <v>0.114</v>
      </c>
      <c r="H300">
        <v>11</v>
      </c>
      <c r="I300">
        <v>91.7</v>
      </c>
      <c r="J300">
        <v>3.75</v>
      </c>
      <c r="K300">
        <v>0</v>
      </c>
      <c r="L300">
        <v>3.1</v>
      </c>
      <c r="M300">
        <v>599017.32999999996</v>
      </c>
      <c r="N300">
        <v>134009.92000000001</v>
      </c>
      <c r="O300">
        <f t="shared" si="24"/>
        <v>0</v>
      </c>
      <c r="P300">
        <f t="shared" si="25"/>
        <v>0</v>
      </c>
      <c r="Q300">
        <f t="shared" si="26"/>
        <v>1</v>
      </c>
      <c r="R300">
        <f t="shared" si="27"/>
        <v>0</v>
      </c>
      <c r="S300">
        <f t="shared" si="28"/>
        <v>1</v>
      </c>
      <c r="T300">
        <f t="shared" si="29"/>
        <v>0</v>
      </c>
    </row>
    <row r="301" spans="1:20">
      <c r="A301" t="s">
        <v>96</v>
      </c>
      <c r="B301" s="2">
        <v>45748</v>
      </c>
      <c r="C301" t="s">
        <v>27</v>
      </c>
      <c r="D301" t="s">
        <v>18</v>
      </c>
      <c r="E301">
        <v>24362.98</v>
      </c>
      <c r="F301">
        <v>1462</v>
      </c>
      <c r="G301">
        <v>0.11700000000000001</v>
      </c>
      <c r="H301">
        <v>6</v>
      </c>
      <c r="I301">
        <v>89.3</v>
      </c>
      <c r="J301">
        <v>15.06</v>
      </c>
      <c r="K301">
        <v>0</v>
      </c>
      <c r="L301">
        <v>3.2</v>
      </c>
      <c r="M301">
        <v>401582.58</v>
      </c>
      <c r="N301">
        <v>68454.929999999993</v>
      </c>
      <c r="O301">
        <f t="shared" si="24"/>
        <v>0</v>
      </c>
      <c r="P301">
        <f t="shared" si="25"/>
        <v>0</v>
      </c>
      <c r="Q301">
        <f t="shared" si="26"/>
        <v>1</v>
      </c>
      <c r="R301">
        <f t="shared" si="27"/>
        <v>0</v>
      </c>
      <c r="S301">
        <f t="shared" si="28"/>
        <v>1</v>
      </c>
      <c r="T301">
        <f t="shared" si="29"/>
        <v>0</v>
      </c>
    </row>
    <row r="302" spans="1:20">
      <c r="A302" t="s">
        <v>97</v>
      </c>
      <c r="B302" s="2">
        <v>45658</v>
      </c>
      <c r="C302" t="s">
        <v>20</v>
      </c>
      <c r="D302" t="s">
        <v>28</v>
      </c>
      <c r="E302">
        <v>40647.67</v>
      </c>
      <c r="F302">
        <v>8252</v>
      </c>
      <c r="G302">
        <v>0.14099999999999999</v>
      </c>
      <c r="H302">
        <v>22</v>
      </c>
      <c r="I302">
        <v>88.2</v>
      </c>
      <c r="J302">
        <v>5.07</v>
      </c>
      <c r="K302">
        <v>1</v>
      </c>
      <c r="L302">
        <v>4.0999999999999996</v>
      </c>
      <c r="M302">
        <v>703812.99</v>
      </c>
      <c r="N302">
        <v>133577.98000000001</v>
      </c>
      <c r="O302">
        <f t="shared" si="24"/>
        <v>1</v>
      </c>
      <c r="P302">
        <f t="shared" si="25"/>
        <v>0</v>
      </c>
      <c r="Q302">
        <f t="shared" si="26"/>
        <v>0</v>
      </c>
      <c r="R302">
        <f t="shared" si="27"/>
        <v>0</v>
      </c>
      <c r="S302">
        <f t="shared" si="28"/>
        <v>0</v>
      </c>
      <c r="T302">
        <f t="shared" si="29"/>
        <v>1</v>
      </c>
    </row>
    <row r="303" spans="1:20">
      <c r="A303" t="s">
        <v>97</v>
      </c>
      <c r="B303" s="2">
        <v>45689</v>
      </c>
      <c r="C303" t="s">
        <v>20</v>
      </c>
      <c r="D303" t="s">
        <v>28</v>
      </c>
      <c r="E303">
        <v>63986.98</v>
      </c>
      <c r="F303">
        <v>7989</v>
      </c>
      <c r="G303">
        <v>7.3999999999999996E-2</v>
      </c>
      <c r="H303">
        <v>20</v>
      </c>
      <c r="I303">
        <v>83.3</v>
      </c>
      <c r="J303">
        <v>3.6</v>
      </c>
      <c r="K303">
        <v>0</v>
      </c>
      <c r="L303">
        <v>3.7</v>
      </c>
      <c r="M303">
        <v>724346.73</v>
      </c>
      <c r="N303">
        <v>155013.91</v>
      </c>
      <c r="O303">
        <f t="shared" si="24"/>
        <v>1</v>
      </c>
      <c r="P303">
        <f t="shared" si="25"/>
        <v>0</v>
      </c>
      <c r="Q303">
        <f t="shared" si="26"/>
        <v>0</v>
      </c>
      <c r="R303">
        <f t="shared" si="27"/>
        <v>0</v>
      </c>
      <c r="S303">
        <f t="shared" si="28"/>
        <v>0</v>
      </c>
      <c r="T303">
        <f t="shared" si="29"/>
        <v>1</v>
      </c>
    </row>
    <row r="304" spans="1:20">
      <c r="A304" t="s">
        <v>97</v>
      </c>
      <c r="B304" s="2">
        <v>45717</v>
      </c>
      <c r="C304" t="s">
        <v>20</v>
      </c>
      <c r="D304" t="s">
        <v>28</v>
      </c>
      <c r="E304">
        <v>52843.75</v>
      </c>
      <c r="F304">
        <v>8268</v>
      </c>
      <c r="G304">
        <v>0.13800000000000001</v>
      </c>
      <c r="H304">
        <v>19</v>
      </c>
      <c r="I304">
        <v>87.3</v>
      </c>
      <c r="J304">
        <v>4.3899999999999997</v>
      </c>
      <c r="K304">
        <v>1</v>
      </c>
      <c r="L304">
        <v>4.7</v>
      </c>
      <c r="M304">
        <v>730890.01</v>
      </c>
      <c r="N304">
        <v>105502.56</v>
      </c>
      <c r="O304">
        <f t="shared" si="24"/>
        <v>1</v>
      </c>
      <c r="P304">
        <f t="shared" si="25"/>
        <v>0</v>
      </c>
      <c r="Q304">
        <f t="shared" si="26"/>
        <v>0</v>
      </c>
      <c r="R304">
        <f t="shared" si="27"/>
        <v>0</v>
      </c>
      <c r="S304">
        <f t="shared" si="28"/>
        <v>0</v>
      </c>
      <c r="T304">
        <f t="shared" si="29"/>
        <v>1</v>
      </c>
    </row>
    <row r="305" spans="1:20">
      <c r="A305" t="s">
        <v>97</v>
      </c>
      <c r="B305" s="2">
        <v>45748</v>
      </c>
      <c r="C305" t="s">
        <v>20</v>
      </c>
      <c r="D305" t="s">
        <v>28</v>
      </c>
      <c r="E305">
        <v>31997.25</v>
      </c>
      <c r="F305">
        <v>8183</v>
      </c>
      <c r="G305">
        <v>0.19800000000000001</v>
      </c>
      <c r="H305">
        <v>18</v>
      </c>
      <c r="I305">
        <v>93</v>
      </c>
      <c r="J305">
        <v>2.79</v>
      </c>
      <c r="K305">
        <v>0</v>
      </c>
      <c r="L305">
        <v>4.2</v>
      </c>
      <c r="M305">
        <v>780580.95</v>
      </c>
      <c r="N305">
        <v>138144.46</v>
      </c>
      <c r="O305">
        <f t="shared" si="24"/>
        <v>1</v>
      </c>
      <c r="P305">
        <f t="shared" si="25"/>
        <v>0</v>
      </c>
      <c r="Q305">
        <f t="shared" si="26"/>
        <v>0</v>
      </c>
      <c r="R305">
        <f t="shared" si="27"/>
        <v>0</v>
      </c>
      <c r="S305">
        <f t="shared" si="28"/>
        <v>0</v>
      </c>
      <c r="T305">
        <f t="shared" si="29"/>
        <v>1</v>
      </c>
    </row>
    <row r="306" spans="1:20">
      <c r="A306" t="s">
        <v>98</v>
      </c>
      <c r="B306" s="2">
        <v>45658</v>
      </c>
      <c r="C306" t="s">
        <v>24</v>
      </c>
      <c r="D306" t="s">
        <v>16</v>
      </c>
      <c r="E306">
        <v>54948.02</v>
      </c>
      <c r="F306">
        <v>6534</v>
      </c>
      <c r="G306">
        <v>0.183</v>
      </c>
      <c r="H306">
        <v>14</v>
      </c>
      <c r="I306">
        <v>94.5</v>
      </c>
      <c r="J306">
        <v>1.56</v>
      </c>
      <c r="K306">
        <v>0</v>
      </c>
      <c r="L306">
        <v>4</v>
      </c>
      <c r="M306">
        <v>727957.48</v>
      </c>
      <c r="N306">
        <v>74805.23</v>
      </c>
      <c r="O306">
        <f t="shared" si="24"/>
        <v>0</v>
      </c>
      <c r="P306">
        <f t="shared" si="25"/>
        <v>1</v>
      </c>
      <c r="Q306">
        <f t="shared" si="26"/>
        <v>0</v>
      </c>
      <c r="R306">
        <f t="shared" si="27"/>
        <v>0</v>
      </c>
      <c r="S306">
        <f t="shared" si="28"/>
        <v>0</v>
      </c>
      <c r="T306">
        <f t="shared" si="29"/>
        <v>0</v>
      </c>
    </row>
    <row r="307" spans="1:20">
      <c r="A307" t="s">
        <v>98</v>
      </c>
      <c r="B307" s="2">
        <v>45689</v>
      </c>
      <c r="C307" t="s">
        <v>24</v>
      </c>
      <c r="D307" t="s">
        <v>16</v>
      </c>
      <c r="E307">
        <v>46146.239999999998</v>
      </c>
      <c r="F307">
        <v>5804</v>
      </c>
      <c r="G307">
        <v>4.7E-2</v>
      </c>
      <c r="H307">
        <v>16</v>
      </c>
      <c r="I307">
        <v>86.9</v>
      </c>
      <c r="J307">
        <v>15.82</v>
      </c>
      <c r="K307">
        <v>0</v>
      </c>
      <c r="L307">
        <v>3.8</v>
      </c>
      <c r="M307">
        <v>538376</v>
      </c>
      <c r="N307">
        <v>87605.62</v>
      </c>
      <c r="O307">
        <f t="shared" si="24"/>
        <v>0</v>
      </c>
      <c r="P307">
        <f t="shared" si="25"/>
        <v>1</v>
      </c>
      <c r="Q307">
        <f t="shared" si="26"/>
        <v>0</v>
      </c>
      <c r="R307">
        <f t="shared" si="27"/>
        <v>0</v>
      </c>
      <c r="S307">
        <f t="shared" si="28"/>
        <v>0</v>
      </c>
      <c r="T307">
        <f t="shared" si="29"/>
        <v>0</v>
      </c>
    </row>
    <row r="308" spans="1:20">
      <c r="A308" t="s">
        <v>98</v>
      </c>
      <c r="B308" s="2">
        <v>45717</v>
      </c>
      <c r="C308" t="s">
        <v>24</v>
      </c>
      <c r="D308" t="s">
        <v>16</v>
      </c>
      <c r="E308">
        <v>22387.26</v>
      </c>
      <c r="F308">
        <v>6301</v>
      </c>
      <c r="G308">
        <v>0.14599999999999999</v>
      </c>
      <c r="H308">
        <v>14</v>
      </c>
      <c r="I308">
        <v>85.9</v>
      </c>
      <c r="J308">
        <v>1.17</v>
      </c>
      <c r="K308">
        <v>1</v>
      </c>
      <c r="L308">
        <v>3.7</v>
      </c>
      <c r="M308">
        <v>665342.49</v>
      </c>
      <c r="N308">
        <v>93441.81</v>
      </c>
      <c r="O308">
        <f t="shared" si="24"/>
        <v>0</v>
      </c>
      <c r="P308">
        <f t="shared" si="25"/>
        <v>1</v>
      </c>
      <c r="Q308">
        <f t="shared" si="26"/>
        <v>0</v>
      </c>
      <c r="R308">
        <f t="shared" si="27"/>
        <v>0</v>
      </c>
      <c r="S308">
        <f t="shared" si="28"/>
        <v>0</v>
      </c>
      <c r="T308">
        <f t="shared" si="29"/>
        <v>0</v>
      </c>
    </row>
    <row r="309" spans="1:20">
      <c r="A309" t="s">
        <v>98</v>
      </c>
      <c r="B309" s="2">
        <v>45748</v>
      </c>
      <c r="C309" t="s">
        <v>24</v>
      </c>
      <c r="D309" t="s">
        <v>16</v>
      </c>
      <c r="E309">
        <v>60684.05</v>
      </c>
      <c r="F309">
        <v>6399</v>
      </c>
      <c r="G309">
        <v>7.4999999999999997E-2</v>
      </c>
      <c r="H309">
        <v>16</v>
      </c>
      <c r="I309">
        <v>99</v>
      </c>
      <c r="J309">
        <v>3.82</v>
      </c>
      <c r="K309">
        <v>0</v>
      </c>
      <c r="L309">
        <v>3.5</v>
      </c>
      <c r="M309">
        <v>651164.18000000005</v>
      </c>
      <c r="N309">
        <v>109466.5</v>
      </c>
      <c r="O309">
        <f t="shared" si="24"/>
        <v>0</v>
      </c>
      <c r="P309">
        <f t="shared" si="25"/>
        <v>1</v>
      </c>
      <c r="Q309">
        <f t="shared" si="26"/>
        <v>0</v>
      </c>
      <c r="R309">
        <f t="shared" si="27"/>
        <v>0</v>
      </c>
      <c r="S309">
        <f t="shared" si="28"/>
        <v>0</v>
      </c>
      <c r="T309">
        <f t="shared" si="29"/>
        <v>0</v>
      </c>
    </row>
    <row r="310" spans="1:20">
      <c r="A310" t="s">
        <v>99</v>
      </c>
      <c r="B310" s="2">
        <v>45658</v>
      </c>
      <c r="C310" t="s">
        <v>24</v>
      </c>
      <c r="D310" t="s">
        <v>18</v>
      </c>
      <c r="E310">
        <v>48465.599999999999</v>
      </c>
      <c r="F310">
        <v>5759</v>
      </c>
      <c r="G310">
        <v>0.154</v>
      </c>
      <c r="H310">
        <v>13</v>
      </c>
      <c r="I310">
        <v>87.5</v>
      </c>
      <c r="J310">
        <v>4.1399999999999997</v>
      </c>
      <c r="K310">
        <v>0</v>
      </c>
      <c r="L310">
        <v>4</v>
      </c>
      <c r="M310">
        <v>628538.30000000005</v>
      </c>
      <c r="N310">
        <v>112509.15</v>
      </c>
      <c r="O310">
        <f t="shared" si="24"/>
        <v>0</v>
      </c>
      <c r="P310">
        <f t="shared" si="25"/>
        <v>1</v>
      </c>
      <c r="Q310">
        <f t="shared" si="26"/>
        <v>0</v>
      </c>
      <c r="R310">
        <f t="shared" si="27"/>
        <v>0</v>
      </c>
      <c r="S310">
        <f t="shared" si="28"/>
        <v>1</v>
      </c>
      <c r="T310">
        <f t="shared" si="29"/>
        <v>0</v>
      </c>
    </row>
    <row r="311" spans="1:20">
      <c r="A311" t="s">
        <v>99</v>
      </c>
      <c r="B311" s="2">
        <v>45689</v>
      </c>
      <c r="C311" t="s">
        <v>24</v>
      </c>
      <c r="D311" t="s">
        <v>18</v>
      </c>
      <c r="E311">
        <v>23702.38</v>
      </c>
      <c r="F311">
        <v>5285</v>
      </c>
      <c r="G311">
        <v>0.16700000000000001</v>
      </c>
      <c r="H311">
        <v>14</v>
      </c>
      <c r="I311">
        <v>79.7</v>
      </c>
      <c r="J311">
        <v>1.1000000000000001</v>
      </c>
      <c r="K311">
        <v>0</v>
      </c>
      <c r="L311">
        <v>4.3</v>
      </c>
      <c r="M311">
        <v>536524.84</v>
      </c>
      <c r="N311">
        <v>92752.94</v>
      </c>
      <c r="O311">
        <f t="shared" si="24"/>
        <v>0</v>
      </c>
      <c r="P311">
        <f t="shared" si="25"/>
        <v>1</v>
      </c>
      <c r="Q311">
        <f t="shared" si="26"/>
        <v>0</v>
      </c>
      <c r="R311">
        <f t="shared" si="27"/>
        <v>0</v>
      </c>
      <c r="S311">
        <f t="shared" si="28"/>
        <v>1</v>
      </c>
      <c r="T311">
        <f t="shared" si="29"/>
        <v>0</v>
      </c>
    </row>
    <row r="312" spans="1:20">
      <c r="A312" t="s">
        <v>99</v>
      </c>
      <c r="B312" s="2">
        <v>45717</v>
      </c>
      <c r="C312" t="s">
        <v>24</v>
      </c>
      <c r="D312" t="s">
        <v>18</v>
      </c>
      <c r="E312">
        <v>54322.94</v>
      </c>
      <c r="F312">
        <v>5434</v>
      </c>
      <c r="G312">
        <v>0.2</v>
      </c>
      <c r="H312">
        <v>13</v>
      </c>
      <c r="I312">
        <v>85.7</v>
      </c>
      <c r="J312">
        <v>10.6</v>
      </c>
      <c r="K312">
        <v>0</v>
      </c>
      <c r="L312">
        <v>4.2</v>
      </c>
      <c r="M312">
        <v>621677.30000000005</v>
      </c>
      <c r="N312">
        <v>105192.52</v>
      </c>
      <c r="O312">
        <f t="shared" si="24"/>
        <v>0</v>
      </c>
      <c r="P312">
        <f t="shared" si="25"/>
        <v>1</v>
      </c>
      <c r="Q312">
        <f t="shared" si="26"/>
        <v>0</v>
      </c>
      <c r="R312">
        <f t="shared" si="27"/>
        <v>0</v>
      </c>
      <c r="S312">
        <f t="shared" si="28"/>
        <v>1</v>
      </c>
      <c r="T312">
        <f t="shared" si="29"/>
        <v>0</v>
      </c>
    </row>
    <row r="313" spans="1:20">
      <c r="A313" t="s">
        <v>99</v>
      </c>
      <c r="B313" s="2">
        <v>45748</v>
      </c>
      <c r="C313" t="s">
        <v>24</v>
      </c>
      <c r="D313" t="s">
        <v>18</v>
      </c>
      <c r="E313">
        <v>86026.58</v>
      </c>
      <c r="F313">
        <v>7479</v>
      </c>
      <c r="G313">
        <v>0.14199999999999999</v>
      </c>
      <c r="H313">
        <v>20</v>
      </c>
      <c r="I313">
        <v>89</v>
      </c>
      <c r="J313">
        <v>0.9</v>
      </c>
      <c r="K313">
        <v>0</v>
      </c>
      <c r="L313">
        <v>3.9246794871794872</v>
      </c>
      <c r="M313">
        <v>771129.07</v>
      </c>
      <c r="N313">
        <v>116851.13</v>
      </c>
      <c r="O313">
        <f t="shared" si="24"/>
        <v>0</v>
      </c>
      <c r="P313">
        <f t="shared" si="25"/>
        <v>1</v>
      </c>
      <c r="Q313">
        <f t="shared" si="26"/>
        <v>0</v>
      </c>
      <c r="R313">
        <f t="shared" si="27"/>
        <v>0</v>
      </c>
      <c r="S313">
        <f t="shared" si="28"/>
        <v>1</v>
      </c>
      <c r="T313">
        <f t="shared" si="29"/>
        <v>0</v>
      </c>
    </row>
    <row r="314" spans="1:20">
      <c r="A314" t="s">
        <v>100</v>
      </c>
      <c r="B314" s="2">
        <v>45658</v>
      </c>
      <c r="C314" t="s">
        <v>20</v>
      </c>
      <c r="D314" t="s">
        <v>16</v>
      </c>
      <c r="E314">
        <v>78967.520000000004</v>
      </c>
      <c r="F314">
        <v>6164</v>
      </c>
      <c r="G314">
        <v>2.1000000000000001E-2</v>
      </c>
      <c r="H314">
        <v>16</v>
      </c>
      <c r="I314">
        <v>85.5</v>
      </c>
      <c r="J314">
        <v>0.2</v>
      </c>
      <c r="K314">
        <v>0</v>
      </c>
      <c r="L314">
        <v>3.4</v>
      </c>
      <c r="M314">
        <v>702052.47</v>
      </c>
      <c r="N314">
        <v>121732.51</v>
      </c>
      <c r="O314">
        <f t="shared" si="24"/>
        <v>1</v>
      </c>
      <c r="P314">
        <f t="shared" si="25"/>
        <v>0</v>
      </c>
      <c r="Q314">
        <f t="shared" si="26"/>
        <v>0</v>
      </c>
      <c r="R314">
        <f t="shared" si="27"/>
        <v>0</v>
      </c>
      <c r="S314">
        <f t="shared" si="28"/>
        <v>0</v>
      </c>
      <c r="T314">
        <f t="shared" si="29"/>
        <v>0</v>
      </c>
    </row>
    <row r="315" spans="1:20">
      <c r="A315" t="s">
        <v>100</v>
      </c>
      <c r="B315" s="2">
        <v>45689</v>
      </c>
      <c r="C315" t="s">
        <v>20</v>
      </c>
      <c r="D315" t="s">
        <v>16</v>
      </c>
      <c r="E315">
        <v>46767.99</v>
      </c>
      <c r="F315">
        <v>7973</v>
      </c>
      <c r="G315">
        <v>0.183</v>
      </c>
      <c r="H315">
        <v>18</v>
      </c>
      <c r="I315">
        <v>94.8</v>
      </c>
      <c r="J315">
        <v>4.67</v>
      </c>
      <c r="K315">
        <v>0</v>
      </c>
      <c r="L315">
        <v>3.9246794871794868</v>
      </c>
      <c r="M315">
        <v>688368.46</v>
      </c>
      <c r="N315">
        <v>93588.42</v>
      </c>
      <c r="O315">
        <f t="shared" si="24"/>
        <v>1</v>
      </c>
      <c r="P315">
        <f t="shared" si="25"/>
        <v>0</v>
      </c>
      <c r="Q315">
        <f t="shared" si="26"/>
        <v>0</v>
      </c>
      <c r="R315">
        <f t="shared" si="27"/>
        <v>0</v>
      </c>
      <c r="S315">
        <f t="shared" si="28"/>
        <v>0</v>
      </c>
      <c r="T315">
        <f t="shared" si="29"/>
        <v>0</v>
      </c>
    </row>
    <row r="316" spans="1:20">
      <c r="A316" t="s">
        <v>100</v>
      </c>
      <c r="B316" s="2">
        <v>45717</v>
      </c>
      <c r="C316" t="s">
        <v>20</v>
      </c>
      <c r="D316" t="s">
        <v>16</v>
      </c>
      <c r="E316">
        <v>62507.16</v>
      </c>
      <c r="F316">
        <v>6000</v>
      </c>
      <c r="G316">
        <v>9.0999999999999998E-2</v>
      </c>
      <c r="H316">
        <v>14</v>
      </c>
      <c r="I316">
        <v>98.2</v>
      </c>
      <c r="J316">
        <v>4.38</v>
      </c>
      <c r="K316">
        <v>1</v>
      </c>
      <c r="L316">
        <v>3.9</v>
      </c>
      <c r="M316">
        <v>712375.77</v>
      </c>
      <c r="N316">
        <v>104171.53</v>
      </c>
      <c r="O316">
        <f t="shared" si="24"/>
        <v>1</v>
      </c>
      <c r="P316">
        <f t="shared" si="25"/>
        <v>0</v>
      </c>
      <c r="Q316">
        <f t="shared" si="26"/>
        <v>0</v>
      </c>
      <c r="R316">
        <f t="shared" si="27"/>
        <v>0</v>
      </c>
      <c r="S316">
        <f t="shared" si="28"/>
        <v>0</v>
      </c>
      <c r="T316">
        <f t="shared" si="29"/>
        <v>0</v>
      </c>
    </row>
    <row r="317" spans="1:20">
      <c r="A317" t="s">
        <v>100</v>
      </c>
      <c r="B317" s="2">
        <v>45748</v>
      </c>
      <c r="C317" t="s">
        <v>20</v>
      </c>
      <c r="D317" t="s">
        <v>16</v>
      </c>
      <c r="E317">
        <v>66456.28</v>
      </c>
      <c r="F317">
        <v>9967</v>
      </c>
      <c r="G317">
        <v>0.108</v>
      </c>
      <c r="H317">
        <v>20</v>
      </c>
      <c r="I317">
        <v>94.7</v>
      </c>
      <c r="J317">
        <v>4.4800000000000004</v>
      </c>
      <c r="K317">
        <v>0</v>
      </c>
      <c r="L317">
        <v>4.2</v>
      </c>
      <c r="M317">
        <v>844710.67</v>
      </c>
      <c r="N317">
        <v>137140.18</v>
      </c>
      <c r="O317">
        <f t="shared" si="24"/>
        <v>1</v>
      </c>
      <c r="P317">
        <f t="shared" si="25"/>
        <v>0</v>
      </c>
      <c r="Q317">
        <f t="shared" si="26"/>
        <v>0</v>
      </c>
      <c r="R317">
        <f t="shared" si="27"/>
        <v>0</v>
      </c>
      <c r="S317">
        <f t="shared" si="28"/>
        <v>0</v>
      </c>
      <c r="T317">
        <f t="shared" si="29"/>
        <v>0</v>
      </c>
    </row>
    <row r="318" spans="1:20">
      <c r="A318" t="s">
        <v>101</v>
      </c>
      <c r="B318" s="2">
        <v>45658</v>
      </c>
      <c r="C318" t="s">
        <v>15</v>
      </c>
      <c r="D318" t="s">
        <v>16</v>
      </c>
      <c r="E318">
        <v>76614.320000000007</v>
      </c>
      <c r="F318">
        <v>5639</v>
      </c>
      <c r="G318">
        <v>0.17399999999999999</v>
      </c>
      <c r="H318">
        <v>15</v>
      </c>
      <c r="I318">
        <v>92.9</v>
      </c>
      <c r="J318">
        <v>1.02</v>
      </c>
      <c r="K318">
        <v>1</v>
      </c>
      <c r="L318">
        <v>4</v>
      </c>
      <c r="M318">
        <v>620264.19999999995</v>
      </c>
      <c r="N318">
        <v>91365.64</v>
      </c>
      <c r="O318">
        <f t="shared" si="24"/>
        <v>0</v>
      </c>
      <c r="P318">
        <f t="shared" si="25"/>
        <v>0</v>
      </c>
      <c r="Q318">
        <f t="shared" si="26"/>
        <v>0</v>
      </c>
      <c r="R318">
        <f t="shared" si="27"/>
        <v>0</v>
      </c>
      <c r="S318">
        <f t="shared" si="28"/>
        <v>0</v>
      </c>
      <c r="T318">
        <f t="shared" si="29"/>
        <v>0</v>
      </c>
    </row>
    <row r="319" spans="1:20">
      <c r="A319" t="s">
        <v>101</v>
      </c>
      <c r="B319" s="2">
        <v>45689</v>
      </c>
      <c r="C319" t="s">
        <v>15</v>
      </c>
      <c r="D319" t="s">
        <v>16</v>
      </c>
      <c r="E319">
        <v>24088.06</v>
      </c>
      <c r="F319">
        <v>3466</v>
      </c>
      <c r="G319">
        <v>0</v>
      </c>
      <c r="H319">
        <v>11</v>
      </c>
      <c r="I319">
        <v>88</v>
      </c>
      <c r="J319">
        <v>0.2</v>
      </c>
      <c r="K319">
        <v>0</v>
      </c>
      <c r="L319">
        <v>3.8</v>
      </c>
      <c r="M319">
        <v>536845.42000000004</v>
      </c>
      <c r="N319">
        <v>107473.75</v>
      </c>
      <c r="O319">
        <f t="shared" si="24"/>
        <v>0</v>
      </c>
      <c r="P319">
        <f t="shared" si="25"/>
        <v>0</v>
      </c>
      <c r="Q319">
        <f t="shared" si="26"/>
        <v>0</v>
      </c>
      <c r="R319">
        <f t="shared" si="27"/>
        <v>0</v>
      </c>
      <c r="S319">
        <f t="shared" si="28"/>
        <v>0</v>
      </c>
      <c r="T319">
        <f t="shared" si="29"/>
        <v>0</v>
      </c>
    </row>
    <row r="320" spans="1:20">
      <c r="A320" t="s">
        <v>101</v>
      </c>
      <c r="B320" s="2">
        <v>45717</v>
      </c>
      <c r="C320" t="s">
        <v>15</v>
      </c>
      <c r="D320" t="s">
        <v>16</v>
      </c>
      <c r="E320">
        <v>81902.58</v>
      </c>
      <c r="F320">
        <v>7775</v>
      </c>
      <c r="G320">
        <v>0.215</v>
      </c>
      <c r="H320">
        <v>20</v>
      </c>
      <c r="I320">
        <v>85.2</v>
      </c>
      <c r="J320">
        <v>4.8899999999999997</v>
      </c>
      <c r="K320">
        <v>1</v>
      </c>
      <c r="L320">
        <v>4.2</v>
      </c>
      <c r="M320">
        <v>726776.22</v>
      </c>
      <c r="N320">
        <v>90804.49</v>
      </c>
      <c r="O320">
        <f t="shared" si="24"/>
        <v>0</v>
      </c>
      <c r="P320">
        <f t="shared" si="25"/>
        <v>0</v>
      </c>
      <c r="Q320">
        <f t="shared" si="26"/>
        <v>0</v>
      </c>
      <c r="R320">
        <f t="shared" si="27"/>
        <v>0</v>
      </c>
      <c r="S320">
        <f t="shared" si="28"/>
        <v>0</v>
      </c>
      <c r="T320">
        <f t="shared" si="29"/>
        <v>0</v>
      </c>
    </row>
    <row r="321" spans="1:20">
      <c r="A321" t="s">
        <v>101</v>
      </c>
      <c r="B321" s="2">
        <v>45748</v>
      </c>
      <c r="C321" t="s">
        <v>15</v>
      </c>
      <c r="D321" t="s">
        <v>16</v>
      </c>
      <c r="E321">
        <v>40553.11</v>
      </c>
      <c r="F321">
        <v>5317</v>
      </c>
      <c r="G321">
        <v>0.16500000000000001</v>
      </c>
      <c r="H321">
        <v>17</v>
      </c>
      <c r="I321">
        <v>84.3</v>
      </c>
      <c r="J321">
        <v>11.82</v>
      </c>
      <c r="K321">
        <v>0</v>
      </c>
      <c r="L321">
        <v>4.0999999999999996</v>
      </c>
      <c r="M321">
        <v>559660.84</v>
      </c>
      <c r="N321">
        <v>71443.61</v>
      </c>
      <c r="O321">
        <f t="shared" si="24"/>
        <v>0</v>
      </c>
      <c r="P321">
        <f t="shared" si="25"/>
        <v>0</v>
      </c>
      <c r="Q321">
        <f t="shared" si="26"/>
        <v>0</v>
      </c>
      <c r="R321">
        <f t="shared" si="27"/>
        <v>0</v>
      </c>
      <c r="S321">
        <f t="shared" si="28"/>
        <v>0</v>
      </c>
      <c r="T321">
        <f t="shared" si="29"/>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127A8-A3A9-45EA-A28D-5D94D15E1044}">
  <dimension ref="A1:I349"/>
  <sheetViews>
    <sheetView zoomScale="86" workbookViewId="0">
      <selection activeCell="I33" sqref="I33"/>
    </sheetView>
  </sheetViews>
  <sheetFormatPr defaultRowHeight="13.8"/>
  <sheetData>
    <row r="1" spans="1:9">
      <c r="A1" t="s">
        <v>136</v>
      </c>
    </row>
    <row r="2" spans="1:9" ht="14.4" thickBot="1"/>
    <row r="3" spans="1:9" ht="14.4">
      <c r="A3" s="10" t="s">
        <v>137</v>
      </c>
      <c r="B3" s="10"/>
    </row>
    <row r="4" spans="1:9">
      <c r="A4" s="7" t="s">
        <v>138</v>
      </c>
      <c r="B4" s="7">
        <v>0.89029629555297063</v>
      </c>
    </row>
    <row r="5" spans="1:9">
      <c r="A5" s="7" t="s">
        <v>139</v>
      </c>
      <c r="B5" s="7">
        <v>0.79262749387534248</v>
      </c>
    </row>
    <row r="6" spans="1:9">
      <c r="A6" s="7" t="s">
        <v>140</v>
      </c>
      <c r="B6" s="7">
        <v>0.7886523020646462</v>
      </c>
    </row>
    <row r="7" spans="1:9">
      <c r="A7" s="7" t="s">
        <v>141</v>
      </c>
      <c r="B7" s="7">
        <v>47706.48829706417</v>
      </c>
    </row>
    <row r="8" spans="1:9" ht="14.4" thickBot="1">
      <c r="A8" s="8" t="s">
        <v>142</v>
      </c>
      <c r="B8" s="8">
        <v>320</v>
      </c>
    </row>
    <row r="10" spans="1:9" ht="14.4" thickBot="1">
      <c r="A10" t="s">
        <v>143</v>
      </c>
    </row>
    <row r="11" spans="1:9" ht="14.4">
      <c r="A11" s="9"/>
      <c r="B11" s="9" t="s">
        <v>148</v>
      </c>
      <c r="C11" s="9" t="s">
        <v>149</v>
      </c>
      <c r="D11" s="9" t="s">
        <v>150</v>
      </c>
      <c r="E11" s="9" t="s">
        <v>151</v>
      </c>
      <c r="F11" s="9" t="s">
        <v>152</v>
      </c>
    </row>
    <row r="12" spans="1:9">
      <c r="A12" s="7" t="s">
        <v>144</v>
      </c>
      <c r="B12" s="7">
        <v>6</v>
      </c>
      <c r="C12" s="7">
        <v>2722809091766.0703</v>
      </c>
      <c r="D12" s="7">
        <v>453801515294.34503</v>
      </c>
      <c r="E12" s="7">
        <v>199.39352152582103</v>
      </c>
      <c r="F12" s="7">
        <v>9.2772654988217853E-104</v>
      </c>
    </row>
    <row r="13" spans="1:9">
      <c r="A13" s="7" t="s">
        <v>145</v>
      </c>
      <c r="B13" s="7">
        <v>313</v>
      </c>
      <c r="C13" s="7">
        <v>712359525024.66907</v>
      </c>
      <c r="D13" s="7">
        <v>2275909025.6379204</v>
      </c>
      <c r="E13" s="7"/>
      <c r="F13" s="7"/>
    </row>
    <row r="14" spans="1:9" ht="14.4" thickBot="1">
      <c r="A14" s="8" t="s">
        <v>146</v>
      </c>
      <c r="B14" s="8">
        <v>319</v>
      </c>
      <c r="C14" s="8">
        <v>3435168616790.7393</v>
      </c>
      <c r="D14" s="8"/>
      <c r="E14" s="8"/>
      <c r="F14" s="8"/>
    </row>
    <row r="15" spans="1:9" ht="14.4" thickBot="1"/>
    <row r="16" spans="1:9" ht="14.4">
      <c r="A16" s="9"/>
      <c r="B16" s="9" t="s">
        <v>153</v>
      </c>
      <c r="C16" s="9" t="s">
        <v>141</v>
      </c>
      <c r="D16" s="9" t="s">
        <v>154</v>
      </c>
      <c r="E16" s="9" t="s">
        <v>155</v>
      </c>
      <c r="F16" s="9" t="s">
        <v>156</v>
      </c>
      <c r="G16" s="9" t="s">
        <v>157</v>
      </c>
      <c r="H16" s="9" t="s">
        <v>158</v>
      </c>
      <c r="I16" s="9" t="s">
        <v>159</v>
      </c>
    </row>
    <row r="17" spans="1:9">
      <c r="A17" s="7" t="s">
        <v>147</v>
      </c>
      <c r="B17" s="7">
        <v>391327.12702655437</v>
      </c>
      <c r="C17" s="7">
        <v>12196.471223275552</v>
      </c>
      <c r="D17" s="7">
        <v>32.085274491506354</v>
      </c>
      <c r="E17" s="7">
        <v>5.583807041372155E-101</v>
      </c>
      <c r="F17" s="7">
        <v>367329.6915111735</v>
      </c>
      <c r="G17" s="7">
        <v>415324.56254193524</v>
      </c>
      <c r="H17" s="7">
        <v>367329.6915111735</v>
      </c>
      <c r="I17" s="7">
        <v>415324.56254193524</v>
      </c>
    </row>
    <row r="18" spans="1:9">
      <c r="A18" s="7" t="s">
        <v>4</v>
      </c>
      <c r="B18" s="7">
        <v>1.1427677945621104</v>
      </c>
      <c r="C18" s="7">
        <v>0.13819606862334297</v>
      </c>
      <c r="D18" s="7">
        <v>8.2691773068939778</v>
      </c>
      <c r="E18" s="7">
        <v>3.9015788624561405E-15</v>
      </c>
      <c r="F18" s="7">
        <v>0.87085707673587964</v>
      </c>
      <c r="G18" s="7">
        <v>1.4146785123883412</v>
      </c>
      <c r="H18" s="7">
        <v>0.87085707673587964</v>
      </c>
      <c r="I18" s="7">
        <v>1.4146785123883412</v>
      </c>
    </row>
    <row r="19" spans="1:9">
      <c r="A19" s="7" t="s">
        <v>5</v>
      </c>
      <c r="B19" s="7">
        <v>33.759348463201675</v>
      </c>
      <c r="C19" s="7">
        <v>1.1067823756005064</v>
      </c>
      <c r="D19" s="7">
        <v>30.502246157366645</v>
      </c>
      <c r="E19" s="7">
        <v>9.1860329683589992E-96</v>
      </c>
      <c r="F19" s="7">
        <v>31.581674429310084</v>
      </c>
      <c r="G19" s="7">
        <v>35.937022497093267</v>
      </c>
      <c r="H19" s="7">
        <v>31.581674429310084</v>
      </c>
      <c r="I19" s="7">
        <v>35.937022497093267</v>
      </c>
    </row>
    <row r="20" spans="1:9">
      <c r="A20" s="7" t="s">
        <v>6</v>
      </c>
      <c r="B20" s="7">
        <v>-72697.034300127096</v>
      </c>
      <c r="C20" s="7">
        <v>39930.44344078932</v>
      </c>
      <c r="D20" s="7">
        <v>-1.8205917098798456</v>
      </c>
      <c r="E20" s="7">
        <v>6.9623727562908674E-2</v>
      </c>
      <c r="F20" s="7">
        <v>-151263.05753988493</v>
      </c>
      <c r="G20" s="7">
        <v>5868.9889396307553</v>
      </c>
      <c r="H20" s="7">
        <v>-151263.05753988493</v>
      </c>
      <c r="I20" s="7">
        <v>5868.9889396307553</v>
      </c>
    </row>
    <row r="21" spans="1:9">
      <c r="A21" s="7" t="s">
        <v>130</v>
      </c>
      <c r="B21" s="7">
        <v>13427.776330494597</v>
      </c>
      <c r="C21" s="7">
        <v>7615.8956358282212</v>
      </c>
      <c r="D21" s="7">
        <v>1.7631250443250512</v>
      </c>
      <c r="E21" s="7">
        <v>7.8855155055438012E-2</v>
      </c>
      <c r="F21" s="7">
        <v>-1557.0468258851215</v>
      </c>
      <c r="G21" s="7">
        <v>28412.599486874315</v>
      </c>
      <c r="H21" s="7">
        <v>-1557.0468258851215</v>
      </c>
      <c r="I21" s="7">
        <v>28412.599486874315</v>
      </c>
    </row>
    <row r="22" spans="1:9">
      <c r="A22" s="7" t="s">
        <v>131</v>
      </c>
      <c r="B22" s="7">
        <v>21268.104868203525</v>
      </c>
      <c r="C22" s="7">
        <v>7850.2362495514035</v>
      </c>
      <c r="D22" s="7">
        <v>2.7092311864396281</v>
      </c>
      <c r="E22" s="7">
        <v>7.1152744129848273E-3</v>
      </c>
      <c r="F22" s="7">
        <v>5822.1996772329403</v>
      </c>
      <c r="G22" s="7">
        <v>36714.010059174107</v>
      </c>
      <c r="H22" s="7">
        <v>5822.1996772329403</v>
      </c>
      <c r="I22" s="7">
        <v>36714.010059174107</v>
      </c>
    </row>
    <row r="23" spans="1:9" ht="14.4" thickBot="1">
      <c r="A23" s="8" t="s">
        <v>132</v>
      </c>
      <c r="B23" s="8">
        <v>19854.545884289179</v>
      </c>
      <c r="C23" s="8">
        <v>6862.8489442880737</v>
      </c>
      <c r="D23" s="8">
        <v>2.8930471944620102</v>
      </c>
      <c r="E23" s="8">
        <v>4.0827992353303644E-3</v>
      </c>
      <c r="F23" s="8">
        <v>6351.3963275502174</v>
      </c>
      <c r="G23" s="8">
        <v>33357.69544102814</v>
      </c>
      <c r="H23" s="8">
        <v>6351.3963275502174</v>
      </c>
      <c r="I23" s="8">
        <v>33357.69544102814</v>
      </c>
    </row>
    <row r="27" spans="1:9">
      <c r="A27" t="s">
        <v>175</v>
      </c>
    </row>
    <row r="28" spans="1:9" ht="14.4" thickBot="1"/>
    <row r="29" spans="1:9" ht="14.4">
      <c r="A29" s="9" t="s">
        <v>176</v>
      </c>
      <c r="B29" s="9" t="s">
        <v>177</v>
      </c>
      <c r="C29" s="9" t="s">
        <v>178</v>
      </c>
    </row>
    <row r="30" spans="1:9">
      <c r="A30" s="7">
        <v>1</v>
      </c>
      <c r="B30" s="7">
        <v>748982.37052333914</v>
      </c>
      <c r="C30" s="7">
        <v>-143723.70362150564</v>
      </c>
    </row>
    <row r="31" spans="1:9">
      <c r="A31" s="7">
        <v>2</v>
      </c>
      <c r="B31" s="7">
        <v>715714.71686693642</v>
      </c>
      <c r="C31" s="7">
        <v>-134096.67012004112</v>
      </c>
    </row>
    <row r="32" spans="1:9">
      <c r="A32" s="7">
        <v>3</v>
      </c>
      <c r="B32" s="7">
        <v>757784.01010359649</v>
      </c>
      <c r="C32" s="7">
        <v>-129932.36934513063</v>
      </c>
    </row>
    <row r="33" spans="1:3">
      <c r="A33" s="7">
        <v>4</v>
      </c>
      <c r="B33" s="7">
        <v>764362.48918372521</v>
      </c>
      <c r="C33" s="7">
        <v>-128526.4371951269</v>
      </c>
    </row>
    <row r="34" spans="1:3">
      <c r="A34" s="7">
        <v>5</v>
      </c>
      <c r="B34" s="7">
        <v>752091.49902621447</v>
      </c>
      <c r="C34" s="7">
        <v>-123264.43826100067</v>
      </c>
    </row>
    <row r="35" spans="1:3">
      <c r="A35" s="7">
        <v>6</v>
      </c>
      <c r="B35" s="7">
        <v>787820.76285121276</v>
      </c>
      <c r="C35" s="7">
        <v>-119476.16667520825</v>
      </c>
    </row>
    <row r="36" spans="1:3">
      <c r="A36" s="7">
        <v>7</v>
      </c>
      <c r="B36" s="7">
        <v>793658.57446289412</v>
      </c>
      <c r="C36" s="7">
        <v>-112604.04483946657</v>
      </c>
    </row>
    <row r="37" spans="1:3">
      <c r="A37" s="7">
        <v>8</v>
      </c>
      <c r="B37" s="7">
        <v>749188.8758577588</v>
      </c>
      <c r="C37" s="7">
        <v>-105442.18918372516</v>
      </c>
    </row>
    <row r="38" spans="1:3">
      <c r="A38" s="7">
        <v>9</v>
      </c>
      <c r="B38" s="7">
        <v>841864.06336606899</v>
      </c>
      <c r="C38" s="7">
        <v>-102199.12894358468</v>
      </c>
    </row>
    <row r="39" spans="1:3">
      <c r="A39" s="7">
        <v>10</v>
      </c>
      <c r="B39" s="7">
        <v>785951.93388917553</v>
      </c>
      <c r="C39" s="7">
        <v>-98952.755378506612</v>
      </c>
    </row>
    <row r="40" spans="1:3">
      <c r="A40" s="7">
        <v>11</v>
      </c>
      <c r="B40" s="7">
        <v>738091.21297340642</v>
      </c>
      <c r="C40" s="7">
        <v>-98509.558877714153</v>
      </c>
    </row>
    <row r="41" spans="1:3">
      <c r="A41" s="7">
        <v>12</v>
      </c>
      <c r="B41" s="7">
        <v>861412.2100724004</v>
      </c>
      <c r="C41" s="7">
        <v>-90149.750523339142</v>
      </c>
    </row>
    <row r="42" spans="1:3">
      <c r="A42" s="7">
        <v>13</v>
      </c>
      <c r="B42" s="7">
        <v>896252.9699325749</v>
      </c>
      <c r="C42" s="7">
        <v>-89788.22879828338</v>
      </c>
    </row>
    <row r="43" spans="1:3">
      <c r="A43" s="7">
        <v>14</v>
      </c>
      <c r="B43" s="7">
        <v>783801.23697917955</v>
      </c>
      <c r="C43" s="7">
        <v>-83775.990883251419</v>
      </c>
    </row>
    <row r="44" spans="1:3">
      <c r="A44" s="7">
        <v>15</v>
      </c>
      <c r="B44" s="7">
        <v>743504.26640230091</v>
      </c>
      <c r="C44" s="7">
        <v>-83495.145667580247</v>
      </c>
    </row>
    <row r="45" spans="1:3">
      <c r="A45" s="7">
        <v>16</v>
      </c>
      <c r="B45" s="7">
        <v>846275.15714281378</v>
      </c>
      <c r="C45" s="7">
        <v>-81278.716866936418</v>
      </c>
    </row>
    <row r="46" spans="1:3">
      <c r="A46" s="7">
        <v>17</v>
      </c>
      <c r="B46" s="7">
        <v>706243.35968279559</v>
      </c>
      <c r="C46" s="7">
        <v>-79308.094124518102</v>
      </c>
    </row>
    <row r="47" spans="1:3">
      <c r="A47" s="7">
        <v>18</v>
      </c>
      <c r="B47" s="7">
        <v>615418.41951381497</v>
      </c>
      <c r="C47" s="7">
        <v>-79061.950103596435</v>
      </c>
    </row>
    <row r="48" spans="1:3">
      <c r="A48" s="7">
        <v>19</v>
      </c>
      <c r="B48" s="7">
        <v>689640.16882922978</v>
      </c>
      <c r="C48" s="7">
        <v>-78840.551763540483</v>
      </c>
    </row>
    <row r="49" spans="1:3">
      <c r="A49" s="7">
        <v>20</v>
      </c>
      <c r="B49" s="7">
        <v>612706.83369731135</v>
      </c>
      <c r="C49" s="7">
        <v>-78290.936274490377</v>
      </c>
    </row>
    <row r="50" spans="1:3">
      <c r="A50" s="7">
        <v>21</v>
      </c>
      <c r="B50" s="7">
        <v>517920.94894358469</v>
      </c>
      <c r="C50" s="7">
        <v>-76136.852111640736</v>
      </c>
    </row>
    <row r="51" spans="1:3">
      <c r="A51" s="7">
        <v>22</v>
      </c>
      <c r="B51" s="7">
        <v>501868.09998446942</v>
      </c>
      <c r="C51" s="7">
        <v>-74821.30581391952</v>
      </c>
    </row>
    <row r="52" spans="1:3">
      <c r="A52" s="7">
        <v>23</v>
      </c>
      <c r="B52" s="7">
        <v>554991.61529607966</v>
      </c>
      <c r="C52" s="7">
        <v>-70958.864208669518</v>
      </c>
    </row>
    <row r="53" spans="1:3">
      <c r="A53" s="7">
        <v>24</v>
      </c>
      <c r="B53" s="7">
        <v>548186.18220324372</v>
      </c>
      <c r="C53" s="7">
        <v>-69434.460313130636</v>
      </c>
    </row>
    <row r="54" spans="1:3">
      <c r="A54" s="7">
        <v>25</v>
      </c>
      <c r="B54" s="7">
        <v>813272.27354235668</v>
      </c>
      <c r="C54" s="7">
        <v>-69110.607637265406</v>
      </c>
    </row>
    <row r="55" spans="1:3">
      <c r="A55" s="7">
        <v>26</v>
      </c>
      <c r="B55" s="7">
        <v>899404.69537850656</v>
      </c>
      <c r="C55" s="7">
        <v>-68927.052049213671</v>
      </c>
    </row>
    <row r="56" spans="1:3">
      <c r="A56" s="7">
        <v>27</v>
      </c>
      <c r="B56" s="7">
        <v>776525.57529354666</v>
      </c>
      <c r="C56" s="7">
        <v>-65420.859809317393</v>
      </c>
    </row>
    <row r="57" spans="1:3">
      <c r="A57" s="7">
        <v>28</v>
      </c>
      <c r="B57" s="7">
        <v>706397.52724305482</v>
      </c>
      <c r="C57" s="7">
        <v>-63760.848935778253</v>
      </c>
    </row>
    <row r="58" spans="1:3">
      <c r="A58" s="7">
        <v>29</v>
      </c>
      <c r="B58" s="7">
        <v>595339.55566758022</v>
      </c>
      <c r="C58" s="7">
        <v>-58959.69438736653</v>
      </c>
    </row>
    <row r="59" spans="1:3">
      <c r="A59" s="7">
        <v>30</v>
      </c>
      <c r="B59" s="7">
        <v>528505.74285452487</v>
      </c>
      <c r="C59" s="7">
        <v>-58127.160137049505</v>
      </c>
    </row>
    <row r="60" spans="1:3">
      <c r="A60" s="7">
        <v>31</v>
      </c>
      <c r="B60" s="7">
        <v>516250.03955719015</v>
      </c>
      <c r="C60" s="7">
        <v>-57836.684914989863</v>
      </c>
    </row>
    <row r="61" spans="1:3">
      <c r="A61" s="7">
        <v>32</v>
      </c>
      <c r="B61" s="7">
        <v>491678.22893577826</v>
      </c>
      <c r="C61" s="7">
        <v>-57194.956979179522</v>
      </c>
    </row>
    <row r="62" spans="1:3">
      <c r="A62" s="7">
        <v>33</v>
      </c>
      <c r="B62" s="7">
        <v>771797.39934513066</v>
      </c>
      <c r="C62" s="7">
        <v>-54949.48643975181</v>
      </c>
    </row>
    <row r="63" spans="1:3">
      <c r="A63" s="7">
        <v>34</v>
      </c>
      <c r="B63" s="7">
        <v>878785.85412451811</v>
      </c>
      <c r="C63" s="7">
        <v>-54750.874526490923</v>
      </c>
    </row>
    <row r="64" spans="1:3">
      <c r="A64" s="7">
        <v>35</v>
      </c>
      <c r="B64" s="7">
        <v>805949.58818054618</v>
      </c>
      <c r="C64" s="7">
        <v>-53126.254574914696</v>
      </c>
    </row>
    <row r="65" spans="1:3">
      <c r="A65" s="7">
        <v>36</v>
      </c>
      <c r="B65" s="7">
        <v>799661.9674639696</v>
      </c>
      <c r="C65" s="7">
        <v>-52167.851464621606</v>
      </c>
    </row>
    <row r="66" spans="1:3">
      <c r="A66" s="7">
        <v>37</v>
      </c>
      <c r="B66" s="7">
        <v>782447.88125609048</v>
      </c>
      <c r="C66" s="7">
        <v>-51748.419429604895</v>
      </c>
    </row>
    <row r="67" spans="1:3">
      <c r="A67" s="7">
        <v>38</v>
      </c>
      <c r="B67" s="7">
        <v>738744.69418485416</v>
      </c>
      <c r="C67" s="7">
        <v>-51679.953184384969</v>
      </c>
    </row>
    <row r="68" spans="1:3">
      <c r="A68" s="7">
        <v>39</v>
      </c>
      <c r="B68" s="7">
        <v>752362.18018798577</v>
      </c>
      <c r="C68" s="7">
        <v>-50530.792083303793</v>
      </c>
    </row>
    <row r="69" spans="1:3">
      <c r="A69" s="7">
        <v>40</v>
      </c>
      <c r="B69" s="7">
        <v>796891.71897730068</v>
      </c>
      <c r="C69" s="7">
        <v>-48528.360669357819</v>
      </c>
    </row>
    <row r="70" spans="1:3">
      <c r="A70" s="7">
        <v>41</v>
      </c>
      <c r="B70" s="7">
        <v>545278.13362974382</v>
      </c>
      <c r="C70" s="7">
        <v>-48429.327930237399</v>
      </c>
    </row>
    <row r="71" spans="1:3">
      <c r="A71" s="7">
        <v>42</v>
      </c>
      <c r="B71" s="7">
        <v>542581.75323663536</v>
      </c>
      <c r="C71" s="7">
        <v>-47410.232147863833</v>
      </c>
    </row>
    <row r="72" spans="1:3">
      <c r="A72" s="7">
        <v>43</v>
      </c>
      <c r="B72" s="7">
        <v>573250.13771750964</v>
      </c>
      <c r="C72" s="7">
        <v>-46874.68498852232</v>
      </c>
    </row>
    <row r="73" spans="1:3">
      <c r="A73" s="7">
        <v>44</v>
      </c>
      <c r="B73" s="7">
        <v>587042.65051210253</v>
      </c>
      <c r="C73" s="7">
        <v>-46832.119557692437</v>
      </c>
    </row>
    <row r="74" spans="1:3">
      <c r="A74" s="7">
        <v>45</v>
      </c>
      <c r="B74" s="7">
        <v>739191.30362150562</v>
      </c>
      <c r="C74" s="7">
        <v>-46332.787308839674</v>
      </c>
    </row>
    <row r="75" spans="1:3">
      <c r="A75" s="7">
        <v>46</v>
      </c>
      <c r="B75" s="7">
        <v>617379.1187454171</v>
      </c>
      <c r="C75" s="7">
        <v>-45512.520223211381</v>
      </c>
    </row>
    <row r="76" spans="1:3">
      <c r="A76" s="7">
        <v>47</v>
      </c>
      <c r="B76" s="7">
        <v>588575.7411312866</v>
      </c>
      <c r="C76" s="7">
        <v>-45462.36984593235</v>
      </c>
    </row>
    <row r="77" spans="1:3">
      <c r="A77" s="7">
        <v>48</v>
      </c>
      <c r="B77" s="7">
        <v>585552.70293485781</v>
      </c>
      <c r="C77" s="7">
        <v>-45142.616727815359</v>
      </c>
    </row>
    <row r="78" spans="1:3">
      <c r="A78" s="7">
        <v>49</v>
      </c>
      <c r="B78" s="7">
        <v>622419.10396657011</v>
      </c>
      <c r="C78" s="7">
        <v>-42263.229513815022</v>
      </c>
    </row>
    <row r="79" spans="1:3">
      <c r="A79" s="7">
        <v>50</v>
      </c>
      <c r="B79" s="7">
        <v>633382.48645690235</v>
      </c>
      <c r="C79" s="7">
        <v>-41448.597688408801</v>
      </c>
    </row>
    <row r="80" spans="1:3">
      <c r="A80" s="7">
        <v>51</v>
      </c>
      <c r="B80" s="7">
        <v>633215.77151678246</v>
      </c>
      <c r="C80" s="7">
        <v>-41352.623121872661</v>
      </c>
    </row>
    <row r="81" spans="1:3">
      <c r="A81" s="7">
        <v>52</v>
      </c>
      <c r="B81" s="7">
        <v>718453.01789865922</v>
      </c>
      <c r="C81" s="7">
        <v>-40985.121991864173</v>
      </c>
    </row>
    <row r="82" spans="1:3">
      <c r="A82" s="7">
        <v>53</v>
      </c>
      <c r="B82" s="7">
        <v>576138.29483946657</v>
      </c>
      <c r="C82" s="7">
        <v>-40937.115599901532</v>
      </c>
    </row>
    <row r="83" spans="1:3">
      <c r="A83" s="7">
        <v>54</v>
      </c>
      <c r="B83" s="7">
        <v>705009.13646885264</v>
      </c>
      <c r="C83" s="7">
        <v>-40858.489990306087</v>
      </c>
    </row>
    <row r="84" spans="1:3">
      <c r="A84" s="7">
        <v>55</v>
      </c>
      <c r="B84" s="7">
        <v>682479.95586141839</v>
      </c>
      <c r="C84" s="7">
        <v>-40090.839682795573</v>
      </c>
    </row>
    <row r="85" spans="1:3">
      <c r="A85" s="7">
        <v>56</v>
      </c>
      <c r="B85" s="7">
        <v>533797.69730883965</v>
      </c>
      <c r="C85" s="7">
        <v>-40087.351807040512</v>
      </c>
    </row>
    <row r="86" spans="1:3">
      <c r="A86" s="7">
        <v>57</v>
      </c>
      <c r="B86" s="7">
        <v>493736.62457981094</v>
      </c>
      <c r="C86" s="7">
        <v>-39159.215484164655</v>
      </c>
    </row>
    <row r="87" spans="1:3">
      <c r="A87" s="7">
        <v>58</v>
      </c>
      <c r="B87" s="7">
        <v>541283.60199186415</v>
      </c>
      <c r="C87" s="7">
        <v>-39014.289147932315</v>
      </c>
    </row>
    <row r="88" spans="1:3">
      <c r="A88" s="7">
        <v>59</v>
      </c>
      <c r="B88" s="7">
        <v>653034.799826356</v>
      </c>
      <c r="C88" s="7">
        <v>-38333.690955692204</v>
      </c>
    </row>
    <row r="89" spans="1:3">
      <c r="A89" s="7">
        <v>60</v>
      </c>
      <c r="B89" s="7">
        <v>592915.64548416471</v>
      </c>
      <c r="C89" s="7">
        <v>-38080.973670894164</v>
      </c>
    </row>
    <row r="90" spans="1:3">
      <c r="A90" s="7">
        <v>61</v>
      </c>
      <c r="B90" s="7">
        <v>672817.54581360077</v>
      </c>
      <c r="C90" s="7">
        <v>-37831.483760496601</v>
      </c>
    </row>
    <row r="91" spans="1:3">
      <c r="A91" s="7">
        <v>62</v>
      </c>
      <c r="B91" s="7">
        <v>582430.08079920278</v>
      </c>
      <c r="C91" s="7">
        <v>-37041.576137388474</v>
      </c>
    </row>
    <row r="92" spans="1:3">
      <c r="A92" s="7">
        <v>63</v>
      </c>
      <c r="B92" s="7">
        <v>591715.73806737526</v>
      </c>
      <c r="C92" s="7">
        <v>-36618.183906701044</v>
      </c>
    </row>
    <row r="93" spans="1:3">
      <c r="A93" s="7">
        <v>64</v>
      </c>
      <c r="B93" s="7">
        <v>717812.03324341809</v>
      </c>
      <c r="C93" s="7">
        <v>-36334.986540602287</v>
      </c>
    </row>
    <row r="94" spans="1:3">
      <c r="A94" s="7">
        <v>65</v>
      </c>
      <c r="B94" s="7">
        <v>793184.92297975183</v>
      </c>
      <c r="C94" s="7">
        <v>-36330.279516596929</v>
      </c>
    </row>
    <row r="95" spans="1:3">
      <c r="A95" s="7">
        <v>66</v>
      </c>
      <c r="B95" s="7">
        <v>726341.23802388611</v>
      </c>
      <c r="C95" s="7">
        <v>-36134.712086666259</v>
      </c>
    </row>
    <row r="96" spans="1:3">
      <c r="A96" s="7">
        <v>67</v>
      </c>
      <c r="B96" s="7">
        <v>819475.75012004108</v>
      </c>
      <c r="C96" s="7">
        <v>-35924.587193575804</v>
      </c>
    </row>
    <row r="97" spans="1:3">
      <c r="A97" s="7">
        <v>68</v>
      </c>
      <c r="B97" s="7">
        <v>730906.34311607864</v>
      </c>
      <c r="C97" s="7">
        <v>-35743.649826355977</v>
      </c>
    </row>
    <row r="98" spans="1:3">
      <c r="A98" s="7">
        <v>69</v>
      </c>
      <c r="B98" s="7">
        <v>583506.49622256949</v>
      </c>
      <c r="C98" s="7">
        <v>-35411.450356585556</v>
      </c>
    </row>
    <row r="99" spans="1:3">
      <c r="A99" s="7">
        <v>70</v>
      </c>
      <c r="B99" s="7">
        <v>515185.21208666626</v>
      </c>
      <c r="C99" s="7">
        <v>-33996.155329694739</v>
      </c>
    </row>
    <row r="100" spans="1:3">
      <c r="A100" s="7">
        <v>71</v>
      </c>
      <c r="B100" s="7">
        <v>554018.93606644543</v>
      </c>
      <c r="C100" s="7">
        <v>-33907.373115362832</v>
      </c>
    </row>
    <row r="101" spans="1:3">
      <c r="A101" s="7">
        <v>72</v>
      </c>
      <c r="B101" s="7">
        <v>636825.03584753373</v>
      </c>
      <c r="C101" s="7">
        <v>-33575.157895633369</v>
      </c>
    </row>
    <row r="102" spans="1:3">
      <c r="A102" s="7">
        <v>73</v>
      </c>
      <c r="B102" s="7">
        <v>623775.41328039626</v>
      </c>
      <c r="C102" s="7">
        <v>-31954.884025094565</v>
      </c>
    </row>
    <row r="103" spans="1:3">
      <c r="A103" s="7">
        <v>74</v>
      </c>
      <c r="B103" s="7">
        <v>678240.17214786378</v>
      </c>
      <c r="C103" s="7">
        <v>-30991.901222245884</v>
      </c>
    </row>
    <row r="104" spans="1:3">
      <c r="A104" s="7">
        <v>75</v>
      </c>
      <c r="B104" s="7">
        <v>688312.37610232679</v>
      </c>
      <c r="C104" s="7">
        <v>-30296.498500669259</v>
      </c>
    </row>
    <row r="105" spans="1:3">
      <c r="A105" s="7">
        <v>76</v>
      </c>
      <c r="B105" s="7">
        <v>722288.95768840879</v>
      </c>
      <c r="C105" s="7">
        <v>-30084.9164569024</v>
      </c>
    </row>
    <row r="106" spans="1:3">
      <c r="A106" s="7">
        <v>77</v>
      </c>
      <c r="B106" s="7">
        <v>695337.42318438494</v>
      </c>
      <c r="C106" s="7">
        <v>-29730.499700551445</v>
      </c>
    </row>
    <row r="107" spans="1:3">
      <c r="A107" s="7">
        <v>78</v>
      </c>
      <c r="B107" s="7">
        <v>671922.74872996181</v>
      </c>
      <c r="C107" s="7">
        <v>-29675.44089172862</v>
      </c>
    </row>
    <row r="108" spans="1:3">
      <c r="A108" s="7">
        <v>79</v>
      </c>
      <c r="B108" s="7">
        <v>744338.25972267892</v>
      </c>
      <c r="C108" s="7">
        <v>-29225.811834519496</v>
      </c>
    </row>
    <row r="109" spans="1:3">
      <c r="A109" s="7">
        <v>80</v>
      </c>
      <c r="B109" s="7">
        <v>685089.70066935779</v>
      </c>
      <c r="C109" s="7">
        <v>-29010.256485455669</v>
      </c>
    </row>
    <row r="110" spans="1:3">
      <c r="A110" s="7">
        <v>81</v>
      </c>
      <c r="B110" s="7">
        <v>650379.83648545563</v>
      </c>
      <c r="C110" s="7">
        <v>-28987.965116722742</v>
      </c>
    </row>
    <row r="111" spans="1:3">
      <c r="A111" s="7">
        <v>82</v>
      </c>
      <c r="B111" s="7">
        <v>623822.47476251563</v>
      </c>
      <c r="C111" s="7">
        <v>-27921.691855720012</v>
      </c>
    </row>
    <row r="112" spans="1:3">
      <c r="A112" s="7">
        <v>83</v>
      </c>
      <c r="B112" s="7">
        <v>644968.34074652952</v>
      </c>
      <c r="C112" s="7">
        <v>-26582.036062977277</v>
      </c>
    </row>
    <row r="113" spans="1:3">
      <c r="A113" s="7">
        <v>84</v>
      </c>
      <c r="B113" s="7">
        <v>570833.5497341617</v>
      </c>
      <c r="C113" s="7">
        <v>-25985.422851212788</v>
      </c>
    </row>
    <row r="114" spans="1:3">
      <c r="A114" s="7">
        <v>85</v>
      </c>
      <c r="B114" s="7">
        <v>570976.28761584975</v>
      </c>
      <c r="C114" s="7">
        <v>-25691.124165635556</v>
      </c>
    </row>
    <row r="115" spans="1:3">
      <c r="A115" s="7">
        <v>86</v>
      </c>
      <c r="B115" s="7">
        <v>632449.20707733545</v>
      </c>
      <c r="C115" s="7">
        <v>-24943.361154556391</v>
      </c>
    </row>
    <row r="116" spans="1:3">
      <c r="A116" s="7">
        <v>87</v>
      </c>
      <c r="B116" s="7">
        <v>624173.86712082557</v>
      </c>
      <c r="C116" s="7">
        <v>-24770.858661433798</v>
      </c>
    </row>
    <row r="117" spans="1:3">
      <c r="A117" s="7">
        <v>88</v>
      </c>
      <c r="B117" s="7">
        <v>464885.76471215533</v>
      </c>
      <c r="C117" s="7">
        <v>-24605.382753300713</v>
      </c>
    </row>
    <row r="118" spans="1:3">
      <c r="A118" s="7">
        <v>89</v>
      </c>
      <c r="B118" s="7">
        <v>705342.95638520375</v>
      </c>
      <c r="C118" s="7">
        <v>-24082.188548310078</v>
      </c>
    </row>
    <row r="119" spans="1:3">
      <c r="A119" s="7">
        <v>90</v>
      </c>
      <c r="B119" s="7">
        <v>755698.33719512692</v>
      </c>
      <c r="C119" s="7">
        <v>-23510.660978739616</v>
      </c>
    </row>
    <row r="120" spans="1:3">
      <c r="A120" s="7">
        <v>91</v>
      </c>
      <c r="B120" s="7">
        <v>705678.06646454765</v>
      </c>
      <c r="C120" s="7">
        <v>-23066.968829229823</v>
      </c>
    </row>
    <row r="121" spans="1:3">
      <c r="A121" s="7">
        <v>92</v>
      </c>
      <c r="B121" s="7">
        <v>570075.54545863683</v>
      </c>
      <c r="C121" s="7">
        <v>-22666.603236246156</v>
      </c>
    </row>
    <row r="122" spans="1:3">
      <c r="A122" s="7">
        <v>93</v>
      </c>
      <c r="B122" s="7">
        <v>593829.1145931012</v>
      </c>
      <c r="C122" s="7">
        <v>-21997.129856957938</v>
      </c>
    </row>
    <row r="123" spans="1:3">
      <c r="A123" s="7">
        <v>94</v>
      </c>
      <c r="B123" s="7">
        <v>706908.43303481338</v>
      </c>
      <c r="C123" s="7">
        <v>-21905.330921700224</v>
      </c>
    </row>
    <row r="124" spans="1:3">
      <c r="A124" s="7">
        <v>95</v>
      </c>
      <c r="B124" s="7">
        <v>773696.93786816311</v>
      </c>
      <c r="C124" s="7">
        <v>-21086.883697311394</v>
      </c>
    </row>
    <row r="125" spans="1:3">
      <c r="A125" s="7">
        <v>96</v>
      </c>
      <c r="B125" s="7">
        <v>621178.35696666839</v>
      </c>
      <c r="C125" s="7">
        <v>-20682.487077335478</v>
      </c>
    </row>
    <row r="126" spans="1:3">
      <c r="A126" s="7">
        <v>97</v>
      </c>
      <c r="B126" s="7">
        <v>685049.09120455093</v>
      </c>
      <c r="C126" s="7">
        <v>-20647.129380809143</v>
      </c>
    </row>
    <row r="127" spans="1:3">
      <c r="A127" s="7">
        <v>98</v>
      </c>
      <c r="B127" s="7">
        <v>662706.24046593253</v>
      </c>
      <c r="C127" s="7">
        <v>-20414.164184854133</v>
      </c>
    </row>
    <row r="128" spans="1:3">
      <c r="A128" s="7">
        <v>99</v>
      </c>
      <c r="B128" s="7">
        <v>609088.89708604687</v>
      </c>
      <c r="C128" s="7">
        <v>-19704.53806737531</v>
      </c>
    </row>
    <row r="129" spans="1:3">
      <c r="A129" s="7">
        <v>100</v>
      </c>
      <c r="B129" s="7">
        <v>638692.81518723397</v>
      </c>
      <c r="C129" s="7">
        <v>-18963.558489915216</v>
      </c>
    </row>
    <row r="130" spans="1:3">
      <c r="A130" s="7">
        <v>101</v>
      </c>
      <c r="B130" s="7">
        <v>564037.67309457471</v>
      </c>
      <c r="C130" s="7">
        <v>-17854.28770664765</v>
      </c>
    </row>
    <row r="131" spans="1:3">
      <c r="A131" s="7">
        <v>102</v>
      </c>
      <c r="B131" s="7">
        <v>598490.63575987576</v>
      </c>
      <c r="C131" s="7">
        <v>-17775.718745417078</v>
      </c>
    </row>
    <row r="132" spans="1:3">
      <c r="A132" s="7">
        <v>103</v>
      </c>
      <c r="B132" s="7">
        <v>711467.59549407568</v>
      </c>
      <c r="C132" s="7">
        <v>-17280.705851342296</v>
      </c>
    </row>
    <row r="133" spans="1:3">
      <c r="A133" s="7">
        <v>104</v>
      </c>
      <c r="B133" s="7">
        <v>503879.70850344258</v>
      </c>
      <c r="C133" s="7">
        <v>-16690.355482505402</v>
      </c>
    </row>
    <row r="134" spans="1:3">
      <c r="A134" s="7">
        <v>105</v>
      </c>
      <c r="B134" s="7">
        <v>718823.36183256807</v>
      </c>
      <c r="C134" s="7">
        <v>-16287.324282619171</v>
      </c>
    </row>
    <row r="135" spans="1:3">
      <c r="A135" s="7">
        <v>106</v>
      </c>
      <c r="B135" s="7">
        <v>787474.74130878795</v>
      </c>
      <c r="C135" s="7">
        <v>-16077.019557190128</v>
      </c>
    </row>
    <row r="136" spans="1:3">
      <c r="A136" s="7">
        <v>107</v>
      </c>
      <c r="B136" s="7">
        <v>711031.70722380187</v>
      </c>
      <c r="C136" s="7">
        <v>-15728.780187985743</v>
      </c>
    </row>
    <row r="137" spans="1:3">
      <c r="A137" s="7">
        <v>108</v>
      </c>
      <c r="B137" s="7">
        <v>682875.64585134224</v>
      </c>
      <c r="C137" s="7">
        <v>-15724.623239059583</v>
      </c>
    </row>
    <row r="138" spans="1:3">
      <c r="A138" s="7">
        <v>109</v>
      </c>
      <c r="B138" s="7">
        <v>701395.58908533922</v>
      </c>
      <c r="C138" s="7">
        <v>-15263.566148028243</v>
      </c>
    </row>
    <row r="139" spans="1:3">
      <c r="A139" s="7">
        <v>110</v>
      </c>
      <c r="B139" s="7">
        <v>634861.14944509091</v>
      </c>
      <c r="C139" s="7">
        <v>-15164.218922957079</v>
      </c>
    </row>
    <row r="140" spans="1:3">
      <c r="A140" s="7">
        <v>111</v>
      </c>
      <c r="B140" s="7">
        <v>635158.07026994007</v>
      </c>
      <c r="C140" s="7">
        <v>-15118.924323784711</v>
      </c>
    </row>
    <row r="141" spans="1:3">
      <c r="A141" s="7">
        <v>112</v>
      </c>
      <c r="B141" s="7">
        <v>584637.78361062135</v>
      </c>
      <c r="C141" s="7">
        <v>-15030.452973406413</v>
      </c>
    </row>
    <row r="142" spans="1:3">
      <c r="A142" s="7">
        <v>113</v>
      </c>
      <c r="B142" s="7">
        <v>771487.1045574717</v>
      </c>
      <c r="C142" s="7">
        <v>-14729.238061950193</v>
      </c>
    </row>
    <row r="143" spans="1:3">
      <c r="A143" s="7">
        <v>114</v>
      </c>
      <c r="B143" s="7">
        <v>812824.09084540815</v>
      </c>
      <c r="C143" s="7">
        <v>-14724.25516858662</v>
      </c>
    </row>
    <row r="144" spans="1:3">
      <c r="A144" s="7">
        <v>115</v>
      </c>
      <c r="B144" s="7">
        <v>749455.75146462163</v>
      </c>
      <c r="C144" s="7">
        <v>-14235.224902239162</v>
      </c>
    </row>
    <row r="145" spans="1:3">
      <c r="A145" s="7">
        <v>116</v>
      </c>
      <c r="B145" s="7">
        <v>743018.15115455643</v>
      </c>
      <c r="C145" s="7">
        <v>-14173.844712155347</v>
      </c>
    </row>
    <row r="146" spans="1:3">
      <c r="A146" s="7">
        <v>117</v>
      </c>
      <c r="B146" s="7">
        <v>711323.07181745674</v>
      </c>
      <c r="C146" s="7">
        <v>-13957.781201645033</v>
      </c>
    </row>
    <row r="147" spans="1:3">
      <c r="A147" s="7">
        <v>118</v>
      </c>
      <c r="B147" s="7">
        <v>750479.93779392797</v>
      </c>
      <c r="C147" s="7">
        <v>-13280.236966668395</v>
      </c>
    </row>
    <row r="148" spans="1:3">
      <c r="A148" s="7">
        <v>119</v>
      </c>
      <c r="B148" s="7">
        <v>737343.57457491464</v>
      </c>
      <c r="C148" s="7">
        <v>-12258.137142813765</v>
      </c>
    </row>
    <row r="149" spans="1:3">
      <c r="A149" s="7">
        <v>120</v>
      </c>
      <c r="B149" s="7">
        <v>720995.80858552712</v>
      </c>
      <c r="C149" s="7">
        <v>-12164.926999728894</v>
      </c>
    </row>
    <row r="150" spans="1:3">
      <c r="A150" s="7">
        <v>121</v>
      </c>
      <c r="B150" s="7">
        <v>578595.4176372654</v>
      </c>
      <c r="C150" s="7">
        <v>-11863.695759875816</v>
      </c>
    </row>
    <row r="151" spans="1:3">
      <c r="A151" s="7">
        <v>122</v>
      </c>
      <c r="B151" s="7">
        <v>624362.1395822569</v>
      </c>
      <c r="C151" s="7">
        <v>-11354.814831808209</v>
      </c>
    </row>
    <row r="152" spans="1:3">
      <c r="A152" s="7">
        <v>123</v>
      </c>
      <c r="B152" s="7">
        <v>604361.94498852233</v>
      </c>
      <c r="C152" s="7">
        <v>-11301.833676878829</v>
      </c>
    </row>
    <row r="153" spans="1:3">
      <c r="A153" s="7">
        <v>124</v>
      </c>
      <c r="B153" s="7">
        <v>475182.79311536282</v>
      </c>
      <c r="C153" s="7">
        <v>-10812.426920388592</v>
      </c>
    </row>
    <row r="154" spans="1:3">
      <c r="A154" s="7">
        <v>125</v>
      </c>
      <c r="B154" s="7">
        <v>824942.9961256705</v>
      </c>
      <c r="C154" s="7">
        <v>-10750.059026214527</v>
      </c>
    </row>
    <row r="155" spans="1:3">
      <c r="A155" s="7">
        <v>126</v>
      </c>
      <c r="B155" s="7">
        <v>824854.52793962811</v>
      </c>
      <c r="C155" s="7">
        <v>-10588.90335690591</v>
      </c>
    </row>
    <row r="156" spans="1:3">
      <c r="A156" s="7">
        <v>127</v>
      </c>
      <c r="B156" s="7">
        <v>785563.87502050668</v>
      </c>
      <c r="C156" s="7">
        <v>-10340.354842555826</v>
      </c>
    </row>
    <row r="157" spans="1:3">
      <c r="A157" s="7">
        <v>128</v>
      </c>
      <c r="B157" s="7">
        <v>726381.11183451954</v>
      </c>
      <c r="C157" s="7">
        <v>-10015.909712323453</v>
      </c>
    </row>
    <row r="158" spans="1:3">
      <c r="A158" s="7">
        <v>129</v>
      </c>
      <c r="B158" s="7">
        <v>815169.88219488261</v>
      </c>
      <c r="C158" s="7">
        <v>-9962.9699844694114</v>
      </c>
    </row>
    <row r="159" spans="1:3">
      <c r="A159" s="7">
        <v>130</v>
      </c>
      <c r="B159" s="7">
        <v>812170.7048425558</v>
      </c>
      <c r="C159" s="7">
        <v>-9937.2932366353925</v>
      </c>
    </row>
    <row r="160" spans="1:3">
      <c r="A160" s="7">
        <v>131</v>
      </c>
      <c r="B160" s="7">
        <v>763568.97095569223</v>
      </c>
      <c r="C160" s="7">
        <v>-9577.5471208256204</v>
      </c>
    </row>
    <row r="161" spans="1:3">
      <c r="A161" s="7">
        <v>132</v>
      </c>
      <c r="B161" s="7">
        <v>826616.93892295705</v>
      </c>
      <c r="C161" s="7">
        <v>-9199.6880238860613</v>
      </c>
    </row>
    <row r="162" spans="1:3">
      <c r="A162" s="7">
        <v>133</v>
      </c>
      <c r="B162" s="7">
        <v>582051.00452649093</v>
      </c>
      <c r="C162" s="7">
        <v>-9130.5612833721098</v>
      </c>
    </row>
    <row r="163" spans="1:3">
      <c r="A163" s="7">
        <v>134</v>
      </c>
      <c r="B163" s="7">
        <v>476968.50211164076</v>
      </c>
      <c r="C163" s="7">
        <v>-8682.2429797517834</v>
      </c>
    </row>
    <row r="164" spans="1:3">
      <c r="A164" s="7">
        <v>135</v>
      </c>
      <c r="B164" s="7">
        <v>580394.40953128913</v>
      </c>
      <c r="C164" s="7">
        <v>-8478.6563921009656</v>
      </c>
    </row>
    <row r="165" spans="1:3">
      <c r="A165" s="7">
        <v>136</v>
      </c>
      <c r="B165" s="7">
        <v>538206.51128337206</v>
      </c>
      <c r="C165" s="7">
        <v>-8283.5390159722883</v>
      </c>
    </row>
    <row r="166" spans="1:3">
      <c r="A166" s="7">
        <v>137</v>
      </c>
      <c r="B166" s="7">
        <v>756902.4682610007</v>
      </c>
      <c r="C166" s="7">
        <v>-7979.6444736147532</v>
      </c>
    </row>
    <row r="167" spans="1:3">
      <c r="A167" s="7">
        <v>138</v>
      </c>
      <c r="B167" s="7">
        <v>703478.44992546714</v>
      </c>
      <c r="C167" s="7">
        <v>-7967.0970150543144</v>
      </c>
    </row>
    <row r="168" spans="1:3">
      <c r="A168" s="7">
        <v>139</v>
      </c>
      <c r="B168" s="7">
        <v>702207.65296107985</v>
      </c>
      <c r="C168" s="7">
        <v>-7891.6345931012183</v>
      </c>
    </row>
    <row r="169" spans="1:3">
      <c r="A169" s="7">
        <v>140</v>
      </c>
      <c r="B169" s="7">
        <v>634019.71842682164</v>
      </c>
      <c r="C169" s="7">
        <v>-7706.003280396224</v>
      </c>
    </row>
    <row r="170" spans="1:3">
      <c r="A170" s="7">
        <v>141</v>
      </c>
      <c r="B170" s="7">
        <v>669914.80138995673</v>
      </c>
      <c r="C170" s="7">
        <v>-7617.9013541883323</v>
      </c>
    </row>
    <row r="171" spans="1:3">
      <c r="A171" s="7">
        <v>142</v>
      </c>
      <c r="B171" s="7">
        <v>686973.76247921784</v>
      </c>
      <c r="C171" s="7">
        <v>-7542.9115167824784</v>
      </c>
    </row>
    <row r="172" spans="1:3">
      <c r="A172" s="7">
        <v>143</v>
      </c>
      <c r="B172" s="7">
        <v>647058.42234533292</v>
      </c>
      <c r="C172" s="7">
        <v>-6997.4181805461412</v>
      </c>
    </row>
    <row r="173" spans="1:3">
      <c r="A173" s="7">
        <v>144</v>
      </c>
      <c r="B173" s="7">
        <v>660876.28034421965</v>
      </c>
      <c r="C173" s="7">
        <v>-6940.9938891755883</v>
      </c>
    </row>
    <row r="174" spans="1:3">
      <c r="A174" s="7">
        <v>145</v>
      </c>
      <c r="B174" s="7">
        <v>618591.05999030604</v>
      </c>
      <c r="C174" s="7">
        <v>-6578.6116500711069</v>
      </c>
    </row>
    <row r="175" spans="1:3">
      <c r="A175" s="7">
        <v>146</v>
      </c>
      <c r="B175" s="7">
        <v>564980.02185571997</v>
      </c>
      <c r="C175" s="7">
        <v>-5269.5993621840607</v>
      </c>
    </row>
    <row r="176" spans="1:3">
      <c r="A176" s="7">
        <v>147</v>
      </c>
      <c r="B176" s="7">
        <v>598163.83565614442</v>
      </c>
      <c r="C176" s="7">
        <v>-5019.89946572599</v>
      </c>
    </row>
    <row r="177" spans="1:3">
      <c r="A177" s="7">
        <v>148</v>
      </c>
      <c r="B177" s="7">
        <v>578931.93701505428</v>
      </c>
      <c r="C177" s="7">
        <v>-4995.6096689668484</v>
      </c>
    </row>
    <row r="178" spans="1:3">
      <c r="A178" s="7">
        <v>149</v>
      </c>
      <c r="B178" s="7">
        <v>648021.06532969477</v>
      </c>
      <c r="C178" s="7">
        <v>-4755.5572430548491</v>
      </c>
    </row>
    <row r="179" spans="1:3">
      <c r="A179" s="7">
        <v>150</v>
      </c>
      <c r="B179" s="7">
        <v>680058.68646234937</v>
      </c>
      <c r="C179" s="7">
        <v>-4653.6832895680564</v>
      </c>
    </row>
    <row r="180" spans="1:3">
      <c r="A180" s="7">
        <v>151</v>
      </c>
      <c r="B180" s="7">
        <v>646506.90470711491</v>
      </c>
      <c r="C180" s="7">
        <v>-4083.8686581791844</v>
      </c>
    </row>
    <row r="181" spans="1:3">
      <c r="A181" s="7">
        <v>152</v>
      </c>
      <c r="B181" s="7">
        <v>679939.10763097997</v>
      </c>
      <c r="C181" s="7">
        <v>-3818.0097396753263</v>
      </c>
    </row>
    <row r="182" spans="1:3">
      <c r="A182" s="7">
        <v>153</v>
      </c>
      <c r="B182" s="7">
        <v>787348.8906895814</v>
      </c>
      <c r="C182" s="7">
        <v>-3676.8513087879401</v>
      </c>
    </row>
    <row r="183" spans="1:3">
      <c r="A183" s="7">
        <v>154</v>
      </c>
      <c r="B183" s="7">
        <v>680144.72795479943</v>
      </c>
      <c r="C183" s="7">
        <v>-3343.1313612743979</v>
      </c>
    </row>
    <row r="184" spans="1:3">
      <c r="A184" s="7">
        <v>155</v>
      </c>
      <c r="B184" s="7">
        <v>709912.42854831007</v>
      </c>
      <c r="C184" s="7">
        <v>-3313.5670860469108</v>
      </c>
    </row>
    <row r="185" spans="1:3">
      <c r="A185" s="7">
        <v>156</v>
      </c>
      <c r="B185" s="7">
        <v>686237.50861954538</v>
      </c>
      <c r="C185" s="7">
        <v>-2687.7147748997668</v>
      </c>
    </row>
    <row r="186" spans="1:3">
      <c r="A186" s="7">
        <v>157</v>
      </c>
      <c r="B186" s="7">
        <v>716768.67548250535</v>
      </c>
      <c r="C186" s="7">
        <v>-2320.6406895813998</v>
      </c>
    </row>
    <row r="187" spans="1:3">
      <c r="A187" s="7">
        <v>158</v>
      </c>
      <c r="B187" s="7">
        <v>626607.70275330066</v>
      </c>
      <c r="C187" s="7">
        <v>-1732.7697341616731</v>
      </c>
    </row>
    <row r="188" spans="1:3">
      <c r="A188" s="7">
        <v>159</v>
      </c>
      <c r="B188" s="7">
        <v>695134.8415807219</v>
      </c>
      <c r="C188" s="7">
        <v>-1663.860269940109</v>
      </c>
    </row>
    <row r="189" spans="1:3">
      <c r="A189" s="7">
        <v>160</v>
      </c>
      <c r="B189" s="7">
        <v>549642.86211365578</v>
      </c>
      <c r="C189" s="7">
        <v>-1561.5789795238525</v>
      </c>
    </row>
    <row r="190" spans="1:3">
      <c r="A190" s="7">
        <v>161</v>
      </c>
      <c r="B190" s="7">
        <v>698909.38793023746</v>
      </c>
      <c r="C190" s="7">
        <v>-1501.1335423566634</v>
      </c>
    </row>
    <row r="191" spans="1:3">
      <c r="A191" s="7">
        <v>162</v>
      </c>
      <c r="B191" s="7">
        <v>701523.25496888452</v>
      </c>
      <c r="C191" s="7">
        <v>-489.4494580134633</v>
      </c>
    </row>
    <row r="192" spans="1:3">
      <c r="A192" s="7">
        <v>163</v>
      </c>
      <c r="B192" s="7">
        <v>735223.87013704947</v>
      </c>
      <c r="C192" s="7">
        <v>-253.04365800821688</v>
      </c>
    </row>
    <row r="193" spans="1:3">
      <c r="A193" s="7">
        <v>164</v>
      </c>
      <c r="B193" s="7">
        <v>687973.40020533546</v>
      </c>
      <c r="C193" s="7">
        <v>-186.97293485782575</v>
      </c>
    </row>
    <row r="194" spans="1:3">
      <c r="A194" s="7">
        <v>165</v>
      </c>
      <c r="B194" s="7">
        <v>790531.17673894553</v>
      </c>
      <c r="C194" s="7">
        <v>392.63603342988063</v>
      </c>
    </row>
    <row r="195" spans="1:3">
      <c r="A195" s="7">
        <v>166</v>
      </c>
      <c r="B195" s="7">
        <v>732867.5560629773</v>
      </c>
      <c r="C195" s="7">
        <v>490.04176363931037</v>
      </c>
    </row>
    <row r="196" spans="1:3">
      <c r="A196" s="7">
        <v>167</v>
      </c>
      <c r="B196" s="7">
        <v>667096.27897952381</v>
      </c>
      <c r="C196" s="7">
        <v>937.78470392036252</v>
      </c>
    </row>
    <row r="197" spans="1:3">
      <c r="A197" s="7">
        <v>168</v>
      </c>
      <c r="B197" s="7">
        <v>803913.05017844331</v>
      </c>
      <c r="C197" s="7">
        <v>981.33199850888923</v>
      </c>
    </row>
    <row r="198" spans="1:3">
      <c r="A198" s="7">
        <v>169</v>
      </c>
      <c r="B198" s="7">
        <v>768819.69511672272</v>
      </c>
      <c r="C198" s="7">
        <v>1286.3744386360049</v>
      </c>
    </row>
    <row r="199" spans="1:3">
      <c r="A199" s="7">
        <v>170</v>
      </c>
      <c r="B199" s="7">
        <v>677413.13088325143</v>
      </c>
      <c r="C199" s="7">
        <v>1317.8125360304257</v>
      </c>
    </row>
    <row r="200" spans="1:3">
      <c r="A200" s="7">
        <v>171</v>
      </c>
      <c r="B200" s="7">
        <v>740107.36661866913</v>
      </c>
      <c r="C200" s="7">
        <v>1939.6647639218718</v>
      </c>
    </row>
    <row r="201" spans="1:3">
      <c r="A201" s="7">
        <v>172</v>
      </c>
      <c r="B201" s="7">
        <v>683549.57973967528</v>
      </c>
      <c r="C201" s="7">
        <v>2996.8235976990545</v>
      </c>
    </row>
    <row r="202" spans="1:3">
      <c r="A202" s="7">
        <v>173</v>
      </c>
      <c r="B202" s="7">
        <v>749555.80295868637</v>
      </c>
      <c r="C202" s="7">
        <v>3341.0925791049376</v>
      </c>
    </row>
    <row r="203" spans="1:3">
      <c r="A203" s="7">
        <v>174</v>
      </c>
      <c r="B203" s="7">
        <v>753318.99402509455</v>
      </c>
      <c r="C203" s="7">
        <v>3405.0343438555719</v>
      </c>
    </row>
    <row r="204" spans="1:3">
      <c r="A204" s="7">
        <v>175</v>
      </c>
      <c r="B204" s="7">
        <v>791713.44789563341</v>
      </c>
      <c r="C204" s="7">
        <v>3460.0023841502843</v>
      </c>
    </row>
    <row r="205" spans="1:3">
      <c r="A205" s="7">
        <v>176</v>
      </c>
      <c r="B205" s="7">
        <v>802977.625561364</v>
      </c>
      <c r="C205" s="7">
        <v>3619.3581825433066</v>
      </c>
    </row>
    <row r="206" spans="1:3">
      <c r="A206" s="7">
        <v>177</v>
      </c>
      <c r="B206" s="7">
        <v>902266.98806195019</v>
      </c>
      <c r="C206" s="7">
        <v>4035.2397946645506</v>
      </c>
    </row>
    <row r="207" spans="1:3">
      <c r="A207" s="7">
        <v>178</v>
      </c>
      <c r="B207" s="7">
        <v>699442.30281067442</v>
      </c>
      <c r="C207" s="7">
        <v>5048.3143714033067</v>
      </c>
    </row>
    <row r="208" spans="1:3">
      <c r="A208" s="7">
        <v>179</v>
      </c>
      <c r="B208" s="7">
        <v>753968.7107748139</v>
      </c>
      <c r="C208" s="7">
        <v>5123.3706949197222</v>
      </c>
    </row>
    <row r="209" spans="1:3">
      <c r="A209" s="7">
        <v>180</v>
      </c>
      <c r="B209" s="7">
        <v>833368.57192306581</v>
      </c>
      <c r="C209" s="7">
        <v>5157.710761453025</v>
      </c>
    </row>
    <row r="210" spans="1:3">
      <c r="A210" s="7">
        <v>181</v>
      </c>
      <c r="B210" s="7">
        <v>865930.18335690594</v>
      </c>
      <c r="C210" s="7">
        <v>5607.6437450500671</v>
      </c>
    </row>
    <row r="211" spans="1:3">
      <c r="A211" s="7">
        <v>182</v>
      </c>
      <c r="B211" s="7">
        <v>766118.13516858662</v>
      </c>
      <c r="C211" s="7">
        <v>5779.7878812787822</v>
      </c>
    </row>
    <row r="212" spans="1:3">
      <c r="A212" s="7">
        <v>183</v>
      </c>
      <c r="B212" s="7">
        <v>806219.69672781532</v>
      </c>
      <c r="C212" s="7">
        <v>5870.5036147962091</v>
      </c>
    </row>
    <row r="213" spans="1:3">
      <c r="A213" s="7">
        <v>184</v>
      </c>
      <c r="B213" s="7">
        <v>834924.15614802821</v>
      </c>
      <c r="C213" s="7">
        <v>6064.5287954490632</v>
      </c>
    </row>
    <row r="214" spans="1:3">
      <c r="A214" s="7">
        <v>185</v>
      </c>
      <c r="B214" s="7">
        <v>687125.15936218412</v>
      </c>
      <c r="C214" s="7">
        <v>6360.8366649473319</v>
      </c>
    </row>
    <row r="215" spans="1:3">
      <c r="A215" s="7">
        <v>186</v>
      </c>
      <c r="B215" s="7">
        <v>635661.53575496376</v>
      </c>
      <c r="C215" s="7">
        <v>6709.3771936011035</v>
      </c>
    </row>
    <row r="216" spans="1:3">
      <c r="A216" s="7">
        <v>187</v>
      </c>
      <c r="B216" s="7">
        <v>674749.24223394319</v>
      </c>
      <c r="C216" s="7">
        <v>6910.865442528273</v>
      </c>
    </row>
    <row r="217" spans="1:3">
      <c r="A217" s="7">
        <v>188</v>
      </c>
      <c r="B217" s="7">
        <v>748876.65951659693</v>
      </c>
      <c r="C217" s="7">
        <v>7147.2447064532898</v>
      </c>
    </row>
    <row r="218" spans="1:3">
      <c r="A218" s="7">
        <v>189</v>
      </c>
      <c r="B218" s="7">
        <v>591557.45879977872</v>
      </c>
      <c r="C218" s="7">
        <v>7227.1203545951284</v>
      </c>
    </row>
    <row r="219" spans="1:3">
      <c r="A219" s="7">
        <v>190</v>
      </c>
      <c r="B219" s="7">
        <v>528915.73949545505</v>
      </c>
      <c r="C219" s="7">
        <v>7901.8339737029746</v>
      </c>
    </row>
    <row r="220" spans="1:3">
      <c r="A220" s="7">
        <v>191</v>
      </c>
      <c r="B220" s="7">
        <v>458394.51432378474</v>
      </c>
      <c r="C220" s="7">
        <v>8028.0435189668206</v>
      </c>
    </row>
    <row r="221" spans="1:3">
      <c r="A221" s="7">
        <v>192</v>
      </c>
      <c r="B221" s="7">
        <v>589936.65719357575</v>
      </c>
      <c r="C221" s="7">
        <v>8082.8009146607947</v>
      </c>
    </row>
    <row r="222" spans="1:3">
      <c r="A222" s="7">
        <v>193</v>
      </c>
      <c r="B222" s="7">
        <v>701265.53491498984</v>
      </c>
      <c r="C222" s="7">
        <v>8287.1720247749472</v>
      </c>
    </row>
    <row r="223" spans="1:3">
      <c r="A223" s="7">
        <v>194</v>
      </c>
      <c r="B223" s="7">
        <v>632571.39938080916</v>
      </c>
      <c r="C223" s="7">
        <v>8403.8381674318807</v>
      </c>
    </row>
    <row r="224" spans="1:3">
      <c r="A224" s="7">
        <v>195</v>
      </c>
      <c r="B224" s="7">
        <v>578385.57848991523</v>
      </c>
      <c r="C224" s="7">
        <v>8878.0471454751678</v>
      </c>
    </row>
    <row r="225" spans="1:3">
      <c r="A225" s="7">
        <v>196</v>
      </c>
      <c r="B225" s="7">
        <v>547974.61887771415</v>
      </c>
      <c r="C225" s="7">
        <v>9401.5112787705148</v>
      </c>
    </row>
    <row r="226" spans="1:3">
      <c r="A226" s="7">
        <v>197</v>
      </c>
      <c r="B226" s="7">
        <v>647524.07891033858</v>
      </c>
      <c r="C226" s="7">
        <v>9590.3068839213811</v>
      </c>
    </row>
    <row r="227" spans="1:3">
      <c r="A227" s="7">
        <v>198</v>
      </c>
      <c r="B227" s="7">
        <v>611898.09376049659</v>
      </c>
      <c r="C227" s="7">
        <v>9822.405559976236</v>
      </c>
    </row>
    <row r="228" spans="1:3">
      <c r="A228" s="7">
        <v>199</v>
      </c>
      <c r="B228" s="7">
        <v>615568.02390670101</v>
      </c>
      <c r="C228" s="7">
        <v>9835.4888434074819</v>
      </c>
    </row>
    <row r="229" spans="1:3">
      <c r="A229" s="7">
        <v>200</v>
      </c>
      <c r="B229" s="7">
        <v>649380.10344687244</v>
      </c>
      <c r="C229" s="7">
        <v>11840.779045232222</v>
      </c>
    </row>
    <row r="230" spans="1:3">
      <c r="A230" s="7">
        <v>201</v>
      </c>
      <c r="B230" s="7">
        <v>608920.80971232348</v>
      </c>
      <c r="C230" s="7">
        <v>12539.991573178326</v>
      </c>
    </row>
    <row r="231" spans="1:3">
      <c r="A231" s="7">
        <v>202</v>
      </c>
      <c r="B231" s="7">
        <v>685374.89289873245</v>
      </c>
      <c r="C231" s="7">
        <v>12852.84046871087</v>
      </c>
    </row>
    <row r="232" spans="1:3">
      <c r="A232" s="7">
        <v>203</v>
      </c>
      <c r="B232" s="7">
        <v>662034.40643975185</v>
      </c>
      <c r="C232" s="7">
        <v>12956.96553710592</v>
      </c>
    </row>
    <row r="233" spans="1:3">
      <c r="A233" s="7">
        <v>204</v>
      </c>
      <c r="B233" s="7">
        <v>658413.39135418832</v>
      </c>
      <c r="C233" s="7">
        <v>13680.95314843941</v>
      </c>
    </row>
    <row r="234" spans="1:3">
      <c r="A234" s="7">
        <v>205</v>
      </c>
      <c r="B234" s="7">
        <v>811379.56685156061</v>
      </c>
      <c r="C234" s="7">
        <v>13753.84052848164</v>
      </c>
    </row>
    <row r="235" spans="1:3">
      <c r="A235" s="7">
        <v>206</v>
      </c>
      <c r="B235" s="7">
        <v>711456.69895685778</v>
      </c>
      <c r="C235" s="7">
        <v>14484.381414472824</v>
      </c>
    </row>
    <row r="236" spans="1:3">
      <c r="A236" s="7">
        <v>207</v>
      </c>
      <c r="B236" s="7">
        <v>737289.44980931736</v>
      </c>
      <c r="C236" s="7">
        <v>16081.431380454567</v>
      </c>
    </row>
    <row r="237" spans="1:3">
      <c r="A237" s="7">
        <v>208</v>
      </c>
      <c r="B237" s="7">
        <v>727666.0494296049</v>
      </c>
      <c r="C237" s="7">
        <v>16231.674541363143</v>
      </c>
    </row>
    <row r="238" spans="1:3">
      <c r="A238" s="7">
        <v>209</v>
      </c>
      <c r="B238" s="7">
        <v>798605.75095476781</v>
      </c>
      <c r="C238" s="7">
        <v>16816.239821556723</v>
      </c>
    </row>
    <row r="239" spans="1:3">
      <c r="A239" s="7">
        <v>210</v>
      </c>
      <c r="B239" s="7">
        <v>770128.74176354043</v>
      </c>
      <c r="C239" s="7">
        <v>17538.804231841466</v>
      </c>
    </row>
    <row r="240" spans="1:3">
      <c r="A240" s="7">
        <v>211</v>
      </c>
      <c r="B240" s="7">
        <v>947086.58365800825</v>
      </c>
      <c r="C240" s="7">
        <v>17585.142060371931</v>
      </c>
    </row>
    <row r="241" spans="1:3">
      <c r="A241" s="7">
        <v>212</v>
      </c>
      <c r="B241" s="7">
        <v>770246.76901597227</v>
      </c>
      <c r="C241" s="7">
        <v>17624.807796756271</v>
      </c>
    </row>
    <row r="242" spans="1:3">
      <c r="A242" s="7">
        <v>213</v>
      </c>
      <c r="B242" s="7">
        <v>783601.40036733146</v>
      </c>
      <c r="C242" s="7">
        <v>18062.244719253737</v>
      </c>
    </row>
    <row r="243" spans="1:3">
      <c r="A243" s="7">
        <v>214</v>
      </c>
      <c r="B243" s="7">
        <v>765810.02614777908</v>
      </c>
      <c r="C243" s="7">
        <v>18135.349487897474</v>
      </c>
    </row>
    <row r="244" spans="1:3">
      <c r="A244" s="7">
        <v>215</v>
      </c>
      <c r="B244" s="7">
        <v>777092.57866143377</v>
      </c>
      <c r="C244" s="7">
        <v>18184.158177889185</v>
      </c>
    </row>
    <row r="245" spans="1:3">
      <c r="A245" s="7">
        <v>216</v>
      </c>
      <c r="B245" s="7">
        <v>833567.14742089505</v>
      </c>
      <c r="C245" s="7">
        <v>18347.942045200616</v>
      </c>
    </row>
    <row r="246" spans="1:3">
      <c r="A246" s="7">
        <v>217</v>
      </c>
      <c r="B246" s="7">
        <v>656750.29576815851</v>
      </c>
      <c r="C246" s="7">
        <v>19163.830137103098</v>
      </c>
    </row>
    <row r="247" spans="1:3">
      <c r="A247" s="7">
        <v>218</v>
      </c>
      <c r="B247" s="7">
        <v>594980.43226086558</v>
      </c>
      <c r="C247" s="7">
        <v>19189.851270038169</v>
      </c>
    </row>
    <row r="248" spans="1:3">
      <c r="A248" s="7">
        <v>219</v>
      </c>
      <c r="B248" s="7">
        <v>606088.27400414762</v>
      </c>
      <c r="C248" s="7">
        <v>22047.190504544997</v>
      </c>
    </row>
    <row r="249" spans="1:3">
      <c r="A249" s="7">
        <v>220</v>
      </c>
      <c r="B249" s="7">
        <v>571813.07424695615</v>
      </c>
      <c r="C249" s="7">
        <v>24312.635420189064</v>
      </c>
    </row>
    <row r="250" spans="1:3">
      <c r="A250" s="7">
        <v>221</v>
      </c>
      <c r="B250" s="7">
        <v>687839.6927768254</v>
      </c>
      <c r="C250" s="7">
        <v>24380.11722317466</v>
      </c>
    </row>
    <row r="251" spans="1:3">
      <c r="A251" s="7">
        <v>222</v>
      </c>
      <c r="B251" s="7">
        <v>665961.16280639893</v>
      </c>
      <c r="C251" s="7">
        <v>25059.930709938286</v>
      </c>
    </row>
    <row r="252" spans="1:3">
      <c r="A252" s="7">
        <v>223</v>
      </c>
      <c r="B252" s="7">
        <v>725440.79964540491</v>
      </c>
      <c r="C252" s="7">
        <v>25915.630067425082</v>
      </c>
    </row>
    <row r="253" spans="1:3">
      <c r="A253" s="7">
        <v>224</v>
      </c>
      <c r="B253" s="7">
        <v>768993.76984593237</v>
      </c>
      <c r="C253" s="7">
        <v>26224.348868713365</v>
      </c>
    </row>
    <row r="254" spans="1:3">
      <c r="A254" s="7">
        <v>225</v>
      </c>
      <c r="B254" s="7">
        <v>613991.7317475297</v>
      </c>
      <c r="C254" s="7">
        <v>27248.016481655766</v>
      </c>
    </row>
    <row r="255" spans="1:3">
      <c r="A255" s="7">
        <v>226</v>
      </c>
      <c r="B255" s="7">
        <v>544525.13447361474</v>
      </c>
      <c r="C255" s="7">
        <v>27572.868252470274</v>
      </c>
    </row>
    <row r="256" spans="1:3">
      <c r="A256" s="7">
        <v>227</v>
      </c>
      <c r="B256" s="7">
        <v>558673.46122224594</v>
      </c>
      <c r="C256" s="7">
        <v>27911.987739134463</v>
      </c>
    </row>
    <row r="257" spans="1:3">
      <c r="A257" s="7">
        <v>228</v>
      </c>
      <c r="B257" s="7">
        <v>475943.54902492039</v>
      </c>
      <c r="C257" s="7">
        <v>27986.809225186124</v>
      </c>
    </row>
    <row r="258" spans="1:3">
      <c r="A258" s="7">
        <v>229</v>
      </c>
      <c r="B258" s="7">
        <v>629923.00438736659</v>
      </c>
      <c r="C258" s="7">
        <v>28123.807520782109</v>
      </c>
    </row>
    <row r="259" spans="1:3">
      <c r="A259" s="7">
        <v>230</v>
      </c>
      <c r="B259" s="7">
        <v>809133.68555899512</v>
      </c>
      <c r="C259" s="7">
        <v>28551.199632668518</v>
      </c>
    </row>
    <row r="260" spans="1:3">
      <c r="A260" s="7">
        <v>231</v>
      </c>
      <c r="B260" s="7">
        <v>637906.38559990155</v>
      </c>
      <c r="C260" s="7">
        <v>28635.044505924336</v>
      </c>
    </row>
    <row r="261" spans="1:3">
      <c r="A261" s="7">
        <v>232</v>
      </c>
      <c r="B261" s="7">
        <v>605055.96193167404</v>
      </c>
      <c r="C261" s="7">
        <v>29081.22841927805</v>
      </c>
    </row>
    <row r="262" spans="1:3">
      <c r="A262" s="7">
        <v>233</v>
      </c>
      <c r="B262" s="7">
        <v>604101.98412050633</v>
      </c>
      <c r="C262" s="7">
        <v>29184.770962724346</v>
      </c>
    </row>
    <row r="263" spans="1:3">
      <c r="A263" s="7">
        <v>234</v>
      </c>
      <c r="B263" s="7">
        <v>652107.87708303554</v>
      </c>
      <c r="C263" s="7">
        <v>29301.340554909082</v>
      </c>
    </row>
    <row r="264" spans="1:3">
      <c r="A264" s="7">
        <v>235</v>
      </c>
      <c r="B264" s="7">
        <v>664177.19097873964</v>
      </c>
      <c r="C264" s="7">
        <v>29595.393381330883</v>
      </c>
    </row>
    <row r="265" spans="1:3">
      <c r="A265" s="7">
        <v>236</v>
      </c>
      <c r="B265" s="7">
        <v>665581.16562859667</v>
      </c>
      <c r="C265" s="7">
        <v>29954.950417743064</v>
      </c>
    </row>
    <row r="266" spans="1:3">
      <c r="A266" s="7">
        <v>237</v>
      </c>
      <c r="B266" s="7">
        <v>790006.40204921365</v>
      </c>
      <c r="C266" s="7">
        <v>30788.377041313681</v>
      </c>
    </row>
    <row r="267" spans="1:3">
      <c r="A267" s="7">
        <v>238</v>
      </c>
      <c r="B267" s="7">
        <v>824312.80120164505</v>
      </c>
      <c r="C267" s="7">
        <v>31732.131022699294</v>
      </c>
    </row>
    <row r="268" spans="1:3">
      <c r="A268" s="7">
        <v>239</v>
      </c>
      <c r="B268" s="7">
        <v>791594.69089172862</v>
      </c>
      <c r="C268" s="7">
        <v>32583.91027732112</v>
      </c>
    </row>
    <row r="269" spans="1:3">
      <c r="A269" s="7">
        <v>240</v>
      </c>
      <c r="B269" s="7">
        <v>742090.07946572604</v>
      </c>
      <c r="C269" s="7">
        <v>32809.663537650602</v>
      </c>
    </row>
    <row r="270" spans="1:3">
      <c r="A270" s="7">
        <v>241</v>
      </c>
      <c r="B270" s="7">
        <v>743978.52309953852</v>
      </c>
      <c r="C270" s="7">
        <v>32900.242513968609</v>
      </c>
    </row>
    <row r="271" spans="1:3">
      <c r="A271" s="7">
        <v>242</v>
      </c>
      <c r="B271" s="7">
        <v>658153.25182211085</v>
      </c>
      <c r="C271" s="7">
        <v>33014.40690046153</v>
      </c>
    </row>
    <row r="272" spans="1:3">
      <c r="A272" s="7">
        <v>243</v>
      </c>
      <c r="B272" s="7">
        <v>822612.02625494997</v>
      </c>
      <c r="C272" s="7">
        <v>33433.66087703174</v>
      </c>
    </row>
    <row r="273" spans="1:3">
      <c r="A273" s="7">
        <v>244</v>
      </c>
      <c r="B273" s="7">
        <v>743996.08986289694</v>
      </c>
      <c r="C273" s="7">
        <v>33536.399200797197</v>
      </c>
    </row>
    <row r="274" spans="1:3">
      <c r="A274" s="7">
        <v>245</v>
      </c>
      <c r="B274" s="7">
        <v>774753.66351834428</v>
      </c>
      <c r="C274" s="7">
        <v>33552.255965603865</v>
      </c>
    </row>
    <row r="275" spans="1:3">
      <c r="A275" s="7">
        <v>246</v>
      </c>
      <c r="B275" s="7">
        <v>741069.82872122945</v>
      </c>
      <c r="C275" s="7">
        <v>33848.417805117439</v>
      </c>
    </row>
    <row r="276" spans="1:3">
      <c r="A276" s="7">
        <v>247</v>
      </c>
      <c r="B276" s="7">
        <v>690585.6748318082</v>
      </c>
      <c r="C276" s="7">
        <v>34174.513535452308</v>
      </c>
    </row>
    <row r="277" spans="1:3">
      <c r="A277" s="7">
        <v>248</v>
      </c>
      <c r="B277" s="7">
        <v>673527.90333505266</v>
      </c>
      <c r="C277" s="7">
        <v>34222.229655780364</v>
      </c>
    </row>
    <row r="278" spans="1:3">
      <c r="A278" s="7">
        <v>249</v>
      </c>
      <c r="B278" s="7">
        <v>571434.07561822399</v>
      </c>
      <c r="C278" s="7">
        <v>34436.371200221241</v>
      </c>
    </row>
    <row r="279" spans="1:3">
      <c r="A279" s="7">
        <v>250</v>
      </c>
      <c r="B279" s="7">
        <v>680832.39367089421</v>
      </c>
      <c r="C279" s="7">
        <v>34465.225753043895</v>
      </c>
    </row>
    <row r="280" spans="1:3">
      <c r="A280" s="7">
        <v>251</v>
      </c>
      <c r="B280" s="7">
        <v>642173.99211872125</v>
      </c>
      <c r="C280" s="7">
        <v>35157.697876343154</v>
      </c>
    </row>
    <row r="281" spans="1:3">
      <c r="A281" s="7">
        <v>252</v>
      </c>
      <c r="B281" s="7">
        <v>740742.28367687878</v>
      </c>
      <c r="C281" s="7">
        <v>35266.733261054498</v>
      </c>
    </row>
    <row r="282" spans="1:3">
      <c r="A282" s="7">
        <v>253</v>
      </c>
      <c r="B282" s="7">
        <v>731396.74403439614</v>
      </c>
      <c r="C282" s="7">
        <v>35349.594381776056</v>
      </c>
    </row>
    <row r="283" spans="1:3">
      <c r="A283" s="7">
        <v>254</v>
      </c>
      <c r="B283" s="7">
        <v>711329.33203856472</v>
      </c>
      <c r="C283" s="7">
        <v>35383.523684231681</v>
      </c>
    </row>
    <row r="284" spans="1:3">
      <c r="A284" s="7">
        <v>255</v>
      </c>
      <c r="B284" s="7">
        <v>684921.84212365688</v>
      </c>
      <c r="C284" s="7">
        <v>35580.85765466711</v>
      </c>
    </row>
    <row r="285" spans="1:3">
      <c r="A285" s="7">
        <v>256</v>
      </c>
      <c r="B285" s="7">
        <v>649431.71613738849</v>
      </c>
      <c r="C285" s="7">
        <v>36484.864812766085</v>
      </c>
    </row>
    <row r="286" spans="1:3">
      <c r="A286" s="7">
        <v>257</v>
      </c>
      <c r="B286" s="7">
        <v>759124.16563947196</v>
      </c>
      <c r="C286" s="7">
        <v>37088.044167542714</v>
      </c>
    </row>
    <row r="287" spans="1:3">
      <c r="A287" s="7">
        <v>258</v>
      </c>
      <c r="B287" s="7">
        <v>692764.71930508025</v>
      </c>
      <c r="C287" s="7">
        <v>37949.05415246624</v>
      </c>
    </row>
    <row r="288" spans="1:3">
      <c r="A288" s="7">
        <v>259</v>
      </c>
      <c r="B288" s="7">
        <v>744175.9252360781</v>
      </c>
      <c r="C288" s="7">
        <v>38146.048743909574</v>
      </c>
    </row>
    <row r="289" spans="1:3">
      <c r="A289" s="7">
        <v>260</v>
      </c>
      <c r="B289" s="7">
        <v>720504.39928969822</v>
      </c>
      <c r="C289" s="7">
        <v>38359.660566399107</v>
      </c>
    </row>
    <row r="290" spans="1:3">
      <c r="A290" s="7">
        <v>261</v>
      </c>
      <c r="B290" s="7">
        <v>520824.57648103317</v>
      </c>
      <c r="C290" s="7">
        <v>38372.544138581608</v>
      </c>
    </row>
    <row r="291" spans="1:3">
      <c r="A291" s="7">
        <v>262</v>
      </c>
      <c r="B291" s="7">
        <v>609835.19865817914</v>
      </c>
      <c r="C291" s="7">
        <v>39165.473852220923</v>
      </c>
    </row>
    <row r="292" spans="1:3">
      <c r="A292" s="7">
        <v>263</v>
      </c>
      <c r="B292" s="7">
        <v>629214.08568015485</v>
      </c>
      <c r="C292" s="7">
        <v>39870.390074532828</v>
      </c>
    </row>
    <row r="293" spans="1:3">
      <c r="A293" s="7">
        <v>264</v>
      </c>
      <c r="B293" s="7">
        <v>598253.56943360087</v>
      </c>
      <c r="C293" s="7">
        <v>40249.036607511574</v>
      </c>
    </row>
    <row r="294" spans="1:3">
      <c r="A294" s="7">
        <v>265</v>
      </c>
      <c r="B294" s="7">
        <v>699149.70115659246</v>
      </c>
      <c r="C294" s="7">
        <v>41668.613531147363</v>
      </c>
    </row>
    <row r="295" spans="1:3">
      <c r="A295" s="7">
        <v>266</v>
      </c>
      <c r="B295" s="7">
        <v>734359.2791229682</v>
      </c>
      <c r="C295" s="7">
        <v>42456.888068325934</v>
      </c>
    </row>
    <row r="296" spans="1:3">
      <c r="A296" s="7">
        <v>267</v>
      </c>
      <c r="B296" s="7">
        <v>712680.2674860314</v>
      </c>
      <c r="C296" s="7">
        <v>42649.634245036286</v>
      </c>
    </row>
    <row r="297" spans="1:3">
      <c r="A297" s="7">
        <v>268</v>
      </c>
      <c r="B297" s="7">
        <v>711245.53899432695</v>
      </c>
      <c r="C297" s="7">
        <v>43923.351089661475</v>
      </c>
    </row>
    <row r="298" spans="1:3">
      <c r="A298" s="7">
        <v>269</v>
      </c>
      <c r="B298" s="7">
        <v>711164.78208330378</v>
      </c>
      <c r="C298" s="7">
        <v>44048.156756581855</v>
      </c>
    </row>
    <row r="299" spans="1:3">
      <c r="A299" s="7">
        <v>270</v>
      </c>
      <c r="B299" s="7">
        <v>679233.95276070677</v>
      </c>
      <c r="C299" s="7">
        <v>45289.394892650773</v>
      </c>
    </row>
    <row r="300" spans="1:3">
      <c r="A300" s="7">
        <v>271</v>
      </c>
      <c r="B300" s="7">
        <v>791854.62602629699</v>
      </c>
      <c r="C300" s="7">
        <v>45908.882369020022</v>
      </c>
    </row>
    <row r="301" spans="1:3">
      <c r="A301" s="7">
        <v>272</v>
      </c>
      <c r="B301" s="7">
        <v>668164.30581391952</v>
      </c>
      <c r="C301" s="7">
        <v>45975.728610043298</v>
      </c>
    </row>
    <row r="302" spans="1:3">
      <c r="A302" s="7">
        <v>273</v>
      </c>
      <c r="B302" s="7">
        <v>657204.89699972887</v>
      </c>
      <c r="C302" s="7">
        <v>46565.116965186666</v>
      </c>
    </row>
    <row r="303" spans="1:3">
      <c r="A303" s="7">
        <v>274</v>
      </c>
      <c r="B303" s="7">
        <v>532412.55903727561</v>
      </c>
      <c r="C303" s="7">
        <v>46917.716370256152</v>
      </c>
    </row>
    <row r="304" spans="1:3">
      <c r="A304" s="7">
        <v>275</v>
      </c>
      <c r="B304" s="7">
        <v>650072.96490223915</v>
      </c>
      <c r="C304" s="7">
        <v>48426.564319845173</v>
      </c>
    </row>
    <row r="305" spans="1:3">
      <c r="A305" s="7">
        <v>276</v>
      </c>
      <c r="B305" s="7">
        <v>635934.58696602564</v>
      </c>
      <c r="C305" s="7">
        <v>49379.729927599546</v>
      </c>
    </row>
    <row r="306" spans="1:3">
      <c r="A306" s="7">
        <v>277</v>
      </c>
      <c r="B306" s="7">
        <v>762864.56879828335</v>
      </c>
      <c r="C306" s="7">
        <v>50237.245292885113</v>
      </c>
    </row>
    <row r="307" spans="1:3">
      <c r="A307" s="7">
        <v>278</v>
      </c>
      <c r="B307" s="7">
        <v>724794.5794715184</v>
      </c>
      <c r="C307" s="7">
        <v>50803.283033974352</v>
      </c>
    </row>
    <row r="308" spans="1:3">
      <c r="A308" s="7">
        <v>279</v>
      </c>
      <c r="B308" s="7">
        <v>767432.19692038861</v>
      </c>
      <c r="C308" s="7">
        <v>51004.933933554566</v>
      </c>
    </row>
    <row r="309" spans="1:3">
      <c r="A309" s="7">
        <v>280</v>
      </c>
      <c r="B309" s="7">
        <v>800136.70914793236</v>
      </c>
      <c r="C309" s="7">
        <v>51082.771005673101</v>
      </c>
    </row>
    <row r="310" spans="1:3">
      <c r="A310" s="7">
        <v>281</v>
      </c>
      <c r="B310" s="7">
        <v>595858.43420866947</v>
      </c>
      <c r="C310" s="7">
        <v>53655.390975079557</v>
      </c>
    </row>
    <row r="311" spans="1:3">
      <c r="A311" s="7">
        <v>282</v>
      </c>
      <c r="B311" s="7">
        <v>595645.12180704053</v>
      </c>
      <c r="C311" s="7">
        <v>53970.155879493686</v>
      </c>
    </row>
    <row r="312" spans="1:3">
      <c r="A312" s="7">
        <v>283</v>
      </c>
      <c r="B312" s="7">
        <v>676995.63583245734</v>
      </c>
      <c r="C312" s="7">
        <v>55362.122101340792</v>
      </c>
    </row>
    <row r="313" spans="1:3">
      <c r="A313" s="7">
        <v>284</v>
      </c>
      <c r="B313" s="7">
        <v>527170.31970055145</v>
      </c>
      <c r="C313" s="7">
        <v>55605.920710301725</v>
      </c>
    </row>
    <row r="314" spans="1:3">
      <c r="A314" s="7">
        <v>285</v>
      </c>
      <c r="B314" s="7">
        <v>667072.15850066929</v>
      </c>
      <c r="C314" s="7">
        <v>56594.044979493367</v>
      </c>
    </row>
    <row r="315" spans="1:3">
      <c r="A315" s="7">
        <v>286</v>
      </c>
      <c r="B315" s="7">
        <v>637663.21328956808</v>
      </c>
      <c r="C315" s="7">
        <v>56619.987038920168</v>
      </c>
    </row>
    <row r="316" spans="1:3">
      <c r="A316" s="7">
        <v>287</v>
      </c>
      <c r="B316" s="7">
        <v>601661.82797522505</v>
      </c>
      <c r="C316" s="7">
        <v>58385.535237484379</v>
      </c>
    </row>
    <row r="317" spans="1:3">
      <c r="A317" s="7">
        <v>288</v>
      </c>
      <c r="B317" s="7">
        <v>583515.15035658551</v>
      </c>
      <c r="C317" s="7">
        <v>60140.607239293284</v>
      </c>
    </row>
    <row r="318" spans="1:3">
      <c r="A318" s="7">
        <v>289</v>
      </c>
      <c r="B318" s="7">
        <v>737903.07639210101</v>
      </c>
      <c r="C318" s="7">
        <v>60555.929154591868</v>
      </c>
    </row>
    <row r="319" spans="1:3">
      <c r="A319" s="7">
        <v>290</v>
      </c>
      <c r="B319" s="7">
        <v>712548.81428261916</v>
      </c>
      <c r="C319" s="7">
        <v>61803.714441004908</v>
      </c>
    </row>
    <row r="320" spans="1:3">
      <c r="A320" s="7">
        <v>291</v>
      </c>
      <c r="B320" s="7">
        <v>734040.97336393304</v>
      </c>
      <c r="C320" s="7">
        <v>64553.382131836843</v>
      </c>
    </row>
    <row r="321" spans="1:3">
      <c r="A321" s="7">
        <v>292</v>
      </c>
      <c r="B321" s="7">
        <v>692246.51444002381</v>
      </c>
      <c r="C321" s="7">
        <v>64662.468076934223</v>
      </c>
    </row>
    <row r="322" spans="1:3">
      <c r="A322" s="7">
        <v>293</v>
      </c>
      <c r="B322" s="7">
        <v>593055.81955769239</v>
      </c>
      <c r="C322" s="7">
        <v>67260.285995852435</v>
      </c>
    </row>
    <row r="323" spans="1:3">
      <c r="A323" s="7">
        <v>294</v>
      </c>
      <c r="B323" s="7">
        <v>527963.54923854698</v>
      </c>
      <c r="C323" s="7">
        <v>70039.102206072072</v>
      </c>
    </row>
    <row r="324" spans="1:3">
      <c r="A324" s="7">
        <v>295</v>
      </c>
      <c r="B324" s="7">
        <v>505548.93165007111</v>
      </c>
      <c r="C324" s="7">
        <v>71143.676905425265</v>
      </c>
    </row>
    <row r="325" spans="1:3">
      <c r="A325" s="7">
        <v>296</v>
      </c>
      <c r="B325" s="7">
        <v>488227.70945801347</v>
      </c>
      <c r="C325" s="7">
        <v>71197.232916964451</v>
      </c>
    </row>
    <row r="326" spans="1:3">
      <c r="A326" s="7">
        <v>297</v>
      </c>
      <c r="B326" s="7">
        <v>671147.08477489976</v>
      </c>
      <c r="C326" s="7">
        <v>71330.16788634425</v>
      </c>
    </row>
    <row r="327" spans="1:3">
      <c r="A327" s="7">
        <v>298</v>
      </c>
      <c r="B327" s="7">
        <v>666446.03541778703</v>
      </c>
      <c r="C327" s="7">
        <v>72803.159534067498</v>
      </c>
    </row>
    <row r="328" spans="1:3">
      <c r="A328" s="7">
        <v>299</v>
      </c>
      <c r="B328" s="7">
        <v>621014.4598569579</v>
      </c>
      <c r="C328" s="7">
        <v>76742.164186399197</v>
      </c>
    </row>
    <row r="329" spans="1:3">
      <c r="A329" s="7">
        <v>300</v>
      </c>
      <c r="B329" s="7">
        <v>479873.51627449039</v>
      </c>
      <c r="C329" s="7">
        <v>76775.625031115487</v>
      </c>
    </row>
    <row r="330" spans="1:3">
      <c r="A330" s="7">
        <v>301</v>
      </c>
      <c r="B330" s="7">
        <v>719537.61323905957</v>
      </c>
      <c r="C330" s="7">
        <v>77401.884145444492</v>
      </c>
    </row>
    <row r="331" spans="1:3">
      <c r="A331" s="7">
        <v>302</v>
      </c>
      <c r="B331" s="7">
        <v>742201.01770664763</v>
      </c>
      <c r="C331" s="7">
        <v>78420.643777430523</v>
      </c>
    </row>
    <row r="332" spans="1:3">
      <c r="A332" s="7">
        <v>303</v>
      </c>
      <c r="B332" s="7">
        <v>734233.14136127441</v>
      </c>
      <c r="C332" s="7">
        <v>79275.736636066926</v>
      </c>
    </row>
    <row r="333" spans="1:3">
      <c r="A333" s="7">
        <v>304</v>
      </c>
      <c r="B333" s="7">
        <v>703179.06585455546</v>
      </c>
      <c r="C333" s="7">
        <v>80983.954360528034</v>
      </c>
    </row>
    <row r="334" spans="1:3">
      <c r="A334" s="7">
        <v>305</v>
      </c>
      <c r="B334" s="7">
        <v>682668.08510734921</v>
      </c>
      <c r="C334" s="7">
        <v>82273.519253470469</v>
      </c>
    </row>
    <row r="335" spans="1:3">
      <c r="A335" s="7">
        <v>306</v>
      </c>
      <c r="B335" s="7">
        <v>657852.16667520825</v>
      </c>
      <c r="C335" s="7">
        <v>84007.771043142187</v>
      </c>
    </row>
    <row r="336" spans="1:3">
      <c r="A336" s="7">
        <v>307</v>
      </c>
      <c r="B336" s="7">
        <v>640282.5592900617</v>
      </c>
      <c r="C336" s="7">
        <v>84122.132776198094</v>
      </c>
    </row>
    <row r="337" spans="1:3">
      <c r="A337" s="7">
        <v>308</v>
      </c>
      <c r="B337" s="7">
        <v>692516.80312187271</v>
      </c>
      <c r="C337" s="7">
        <v>84139.697189325583</v>
      </c>
    </row>
    <row r="338" spans="1:3">
      <c r="A338" s="7">
        <v>309</v>
      </c>
      <c r="B338" s="7">
        <v>651204.9032362462</v>
      </c>
      <c r="C338" s="7">
        <v>84179.042282490409</v>
      </c>
    </row>
    <row r="339" spans="1:3">
      <c r="A339" s="7">
        <v>310</v>
      </c>
      <c r="B339" s="7">
        <v>605959.3003131306</v>
      </c>
      <c r="C339" s="7">
        <v>86406.536553127575</v>
      </c>
    </row>
    <row r="340" spans="1:3">
      <c r="A340" s="7">
        <v>311</v>
      </c>
      <c r="B340" s="7">
        <v>643582.63092170027</v>
      </c>
      <c r="C340" s="7">
        <v>87717.60796143522</v>
      </c>
    </row>
    <row r="341" spans="1:3">
      <c r="A341" s="7">
        <v>312</v>
      </c>
      <c r="B341" s="7">
        <v>753066.82528074621</v>
      </c>
      <c r="C341" s="7">
        <v>88717.636633930961</v>
      </c>
    </row>
    <row r="342" spans="1:3">
      <c r="A342" s="7">
        <v>313</v>
      </c>
      <c r="B342" s="7">
        <v>701562.42823636066</v>
      </c>
      <c r="C342" s="7">
        <v>89601.173874329543</v>
      </c>
    </row>
    <row r="343" spans="1:3">
      <c r="A343" s="7">
        <v>314</v>
      </c>
      <c r="B343" s="7">
        <v>714059.58416563552</v>
      </c>
      <c r="C343" s="7">
        <v>91157.707766056759</v>
      </c>
    </row>
    <row r="344" spans="1:3">
      <c r="A344" s="7">
        <v>315</v>
      </c>
      <c r="B344" s="7">
        <v>672126.73339248844</v>
      </c>
      <c r="C344" s="7">
        <v>96716.414582212921</v>
      </c>
    </row>
    <row r="345" spans="1:3">
      <c r="A345" s="7">
        <v>316</v>
      </c>
      <c r="B345" s="7">
        <v>809327.14631576836</v>
      </c>
      <c r="C345" s="7">
        <v>99775.303897673264</v>
      </c>
    </row>
    <row r="346" spans="1:3">
      <c r="A346" s="7">
        <v>317</v>
      </c>
      <c r="B346" s="7">
        <v>656599.18654060224</v>
      </c>
      <c r="C346" s="7">
        <v>100975.38414224121</v>
      </c>
    </row>
    <row r="347" spans="1:3">
      <c r="A347" s="7">
        <v>318</v>
      </c>
      <c r="B347" s="7">
        <v>535864.08800149115</v>
      </c>
      <c r="C347" s="7">
        <v>102340.61710126756</v>
      </c>
    </row>
    <row r="348" spans="1:3">
      <c r="A348" s="7">
        <v>319</v>
      </c>
      <c r="B348" s="7">
        <v>731771.82966896682</v>
      </c>
      <c r="C348" s="7">
        <v>121634.33149655745</v>
      </c>
    </row>
    <row r="349" spans="1:3" ht="14.4" thickBot="1">
      <c r="A349" s="8">
        <v>320</v>
      </c>
      <c r="B349" s="8">
        <v>605173.36022321135</v>
      </c>
      <c r="C349" s="8">
        <v>128973.37638937868</v>
      </c>
    </row>
  </sheetData>
  <sortState xmlns:xlrd2="http://schemas.microsoft.com/office/spreadsheetml/2017/richdata2" ref="C30:C349">
    <sortCondition ref="C29:C349"/>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0A18A-A9C8-4175-9FB2-23036EBBE45D}">
  <dimension ref="A1:G321"/>
  <sheetViews>
    <sheetView workbookViewId="0">
      <selection activeCell="L6" sqref="L6"/>
    </sheetView>
  </sheetViews>
  <sheetFormatPr defaultRowHeight="13.8"/>
  <sheetData>
    <row r="1" spans="1:7" ht="27.6">
      <c r="A1" s="1" t="s">
        <v>12</v>
      </c>
      <c r="B1" s="1" t="s">
        <v>4</v>
      </c>
      <c r="C1" s="1" t="s">
        <v>5</v>
      </c>
      <c r="D1" s="1" t="s">
        <v>6</v>
      </c>
      <c r="E1" s="1" t="s">
        <v>130</v>
      </c>
      <c r="F1" s="1" t="s">
        <v>131</v>
      </c>
      <c r="G1" s="1" t="s">
        <v>132</v>
      </c>
    </row>
    <row r="2" spans="1:7">
      <c r="A2">
        <v>658832.62</v>
      </c>
      <c r="B2">
        <v>70389.11</v>
      </c>
      <c r="C2">
        <v>8302</v>
      </c>
      <c r="D2">
        <v>4.2000000000000003E-2</v>
      </c>
      <c r="E2">
        <v>0</v>
      </c>
      <c r="F2">
        <v>0</v>
      </c>
      <c r="G2">
        <v>0</v>
      </c>
    </row>
    <row r="3" spans="1:7">
      <c r="A3">
        <v>634436</v>
      </c>
      <c r="B3">
        <v>43827.89</v>
      </c>
      <c r="C3">
        <v>8487</v>
      </c>
      <c r="D3">
        <v>0.16800000000000001</v>
      </c>
      <c r="E3">
        <v>0</v>
      </c>
      <c r="F3">
        <v>0</v>
      </c>
      <c r="G3">
        <v>0</v>
      </c>
    </row>
    <row r="4" spans="1:7">
      <c r="A4">
        <v>678722.06</v>
      </c>
      <c r="B4">
        <v>59921.75</v>
      </c>
      <c r="C4">
        <v>9113</v>
      </c>
      <c r="D4">
        <v>0.13300000000000001</v>
      </c>
      <c r="E4">
        <v>0</v>
      </c>
      <c r="F4">
        <v>0</v>
      </c>
      <c r="G4">
        <v>0</v>
      </c>
    </row>
    <row r="5" spans="1:7">
      <c r="A5">
        <v>658920.30000000005</v>
      </c>
      <c r="B5">
        <v>56856.63</v>
      </c>
      <c r="C5">
        <v>9431</v>
      </c>
      <c r="D5">
        <v>0.14199999999999999</v>
      </c>
      <c r="E5">
        <v>0</v>
      </c>
      <c r="F5">
        <v>0</v>
      </c>
      <c r="G5">
        <v>0</v>
      </c>
    </row>
    <row r="6" spans="1:7">
      <c r="A6">
        <v>741341.44</v>
      </c>
      <c r="B6">
        <v>48412.639999999999</v>
      </c>
      <c r="C6">
        <v>9545</v>
      </c>
      <c r="D6">
        <v>0.23100000000000001</v>
      </c>
      <c r="E6">
        <v>0</v>
      </c>
      <c r="F6">
        <v>0</v>
      </c>
      <c r="G6">
        <v>0</v>
      </c>
    </row>
    <row r="7" spans="1:7">
      <c r="A7">
        <v>761835.34</v>
      </c>
      <c r="B7">
        <v>64811.21</v>
      </c>
      <c r="C7">
        <v>9792</v>
      </c>
      <c r="D7">
        <v>0.112</v>
      </c>
      <c r="E7">
        <v>0</v>
      </c>
      <c r="F7">
        <v>0</v>
      </c>
      <c r="G7">
        <v>0</v>
      </c>
    </row>
    <row r="8" spans="1:7">
      <c r="A8">
        <v>806615.54</v>
      </c>
      <c r="B8">
        <v>46213.45</v>
      </c>
      <c r="C8">
        <v>10616</v>
      </c>
      <c r="D8">
        <v>0.122</v>
      </c>
      <c r="E8">
        <v>0</v>
      </c>
      <c r="F8">
        <v>0</v>
      </c>
      <c r="G8">
        <v>0</v>
      </c>
    </row>
    <row r="9" spans="1:7">
      <c r="A9">
        <v>850164.26</v>
      </c>
      <c r="B9">
        <v>68148.52</v>
      </c>
      <c r="C9">
        <v>8567</v>
      </c>
      <c r="D9">
        <v>0.127</v>
      </c>
      <c r="E9">
        <v>0</v>
      </c>
      <c r="F9">
        <v>0</v>
      </c>
      <c r="G9">
        <v>0</v>
      </c>
    </row>
    <row r="10" spans="1:7">
      <c r="A10">
        <v>930581.7</v>
      </c>
      <c r="B10">
        <v>71838.86</v>
      </c>
      <c r="C10">
        <v>10979</v>
      </c>
      <c r="D10">
        <v>0.215</v>
      </c>
      <c r="E10">
        <v>1</v>
      </c>
      <c r="F10">
        <v>0</v>
      </c>
      <c r="G10">
        <v>0</v>
      </c>
    </row>
    <row r="11" spans="1:7">
      <c r="A11">
        <v>779010.94</v>
      </c>
      <c r="B11">
        <v>68133.440000000002</v>
      </c>
      <c r="C11">
        <v>9459</v>
      </c>
      <c r="D11">
        <v>0.22</v>
      </c>
      <c r="E11">
        <v>1</v>
      </c>
      <c r="F11">
        <v>0</v>
      </c>
      <c r="G11">
        <v>0</v>
      </c>
    </row>
    <row r="12" spans="1:7">
      <c r="A12">
        <v>723060.76</v>
      </c>
      <c r="B12">
        <v>34285.21</v>
      </c>
      <c r="C12">
        <v>9172</v>
      </c>
      <c r="D12">
        <v>0.21299999999999999</v>
      </c>
      <c r="E12">
        <v>1</v>
      </c>
      <c r="F12">
        <v>0</v>
      </c>
      <c r="G12">
        <v>0</v>
      </c>
    </row>
    <row r="13" spans="1:7">
      <c r="A13">
        <v>910791.94</v>
      </c>
      <c r="B13">
        <v>67979.88</v>
      </c>
      <c r="C13">
        <v>11230</v>
      </c>
      <c r="D13">
        <v>2E-3</v>
      </c>
      <c r="E13">
        <v>1</v>
      </c>
      <c r="F13">
        <v>0</v>
      </c>
      <c r="G13">
        <v>0</v>
      </c>
    </row>
    <row r="14" spans="1:7">
      <c r="A14">
        <v>922168.6</v>
      </c>
      <c r="B14">
        <v>71828.259999999995</v>
      </c>
      <c r="C14">
        <v>12775</v>
      </c>
      <c r="D14">
        <v>0.11600000000000001</v>
      </c>
      <c r="E14">
        <v>0</v>
      </c>
      <c r="F14">
        <v>0</v>
      </c>
      <c r="G14">
        <v>0</v>
      </c>
    </row>
    <row r="15" spans="1:7">
      <c r="A15">
        <v>726606.28</v>
      </c>
      <c r="B15">
        <v>55716.82</v>
      </c>
      <c r="C15">
        <v>10054</v>
      </c>
      <c r="D15">
        <v>0.14599999999999999</v>
      </c>
      <c r="E15">
        <v>0</v>
      </c>
      <c r="F15">
        <v>0</v>
      </c>
      <c r="G15">
        <v>0</v>
      </c>
    </row>
    <row r="16" spans="1:7">
      <c r="A16">
        <v>746501.09</v>
      </c>
      <c r="B16">
        <v>59909.51</v>
      </c>
      <c r="C16">
        <v>8895</v>
      </c>
      <c r="D16">
        <v>0.22800000000000001</v>
      </c>
      <c r="E16">
        <v>0</v>
      </c>
      <c r="F16">
        <v>0</v>
      </c>
      <c r="G16">
        <v>0</v>
      </c>
    </row>
    <row r="17" spans="1:7">
      <c r="A17">
        <v>834017.02</v>
      </c>
      <c r="B17">
        <v>75305.710000000006</v>
      </c>
      <c r="C17">
        <v>10940</v>
      </c>
      <c r="D17">
        <v>6.0000000000000001E-3</v>
      </c>
      <c r="E17">
        <v>0</v>
      </c>
      <c r="F17">
        <v>0</v>
      </c>
      <c r="G17">
        <v>0</v>
      </c>
    </row>
    <row r="18" spans="1:7">
      <c r="A18">
        <v>666152.52</v>
      </c>
      <c r="B18">
        <v>48804.22</v>
      </c>
      <c r="C18">
        <v>7057</v>
      </c>
      <c r="D18">
        <v>5.0000000000000001E-3</v>
      </c>
      <c r="E18">
        <v>0</v>
      </c>
      <c r="F18">
        <v>1</v>
      </c>
      <c r="G18">
        <v>0</v>
      </c>
    </row>
    <row r="19" spans="1:7">
      <c r="A19">
        <v>573155.18999999994</v>
      </c>
      <c r="B19">
        <v>59117.9</v>
      </c>
      <c r="C19">
        <v>4263</v>
      </c>
      <c r="D19">
        <v>0.11899999999999999</v>
      </c>
      <c r="E19">
        <v>0</v>
      </c>
      <c r="F19">
        <v>1</v>
      </c>
      <c r="G19">
        <v>0</v>
      </c>
    </row>
    <row r="20" spans="1:7">
      <c r="A20">
        <v>666573.19999999995</v>
      </c>
      <c r="B20">
        <v>78831.12</v>
      </c>
      <c r="C20">
        <v>5538</v>
      </c>
      <c r="D20">
        <v>0</v>
      </c>
      <c r="E20">
        <v>0</v>
      </c>
      <c r="F20">
        <v>1</v>
      </c>
      <c r="G20">
        <v>0</v>
      </c>
    </row>
    <row r="21" spans="1:7">
      <c r="A21">
        <v>591619.94999999995</v>
      </c>
      <c r="B21">
        <v>41441.93</v>
      </c>
      <c r="C21">
        <v>4865</v>
      </c>
      <c r="D21">
        <v>0.158</v>
      </c>
      <c r="E21">
        <v>0</v>
      </c>
      <c r="F21">
        <v>1</v>
      </c>
      <c r="G21">
        <v>0</v>
      </c>
    </row>
    <row r="22" spans="1:7">
      <c r="A22">
        <v>415721.82</v>
      </c>
      <c r="B22">
        <v>30356.28</v>
      </c>
      <c r="C22">
        <v>2822</v>
      </c>
      <c r="D22">
        <v>0.23100000000000001</v>
      </c>
      <c r="E22">
        <v>1</v>
      </c>
      <c r="F22">
        <v>0</v>
      </c>
      <c r="G22">
        <v>0</v>
      </c>
    </row>
    <row r="23" spans="1:7">
      <c r="A23">
        <v>491905.13</v>
      </c>
      <c r="B23">
        <v>33518.879999999997</v>
      </c>
      <c r="C23">
        <v>2121</v>
      </c>
      <c r="D23">
        <v>0.17599999999999999</v>
      </c>
      <c r="E23">
        <v>1</v>
      </c>
      <c r="F23">
        <v>0</v>
      </c>
      <c r="G23">
        <v>0</v>
      </c>
    </row>
    <row r="24" spans="1:7">
      <c r="A24">
        <v>555929.4</v>
      </c>
      <c r="B24">
        <v>42267.37</v>
      </c>
      <c r="C24">
        <v>3364</v>
      </c>
      <c r="D24">
        <v>0.16</v>
      </c>
      <c r="E24">
        <v>1</v>
      </c>
      <c r="F24">
        <v>0</v>
      </c>
      <c r="G24">
        <v>0</v>
      </c>
    </row>
    <row r="25" spans="1:7">
      <c r="A25">
        <v>565810.99</v>
      </c>
      <c r="B25">
        <v>62060.43</v>
      </c>
      <c r="C25">
        <v>2613</v>
      </c>
      <c r="D25">
        <v>0.216</v>
      </c>
      <c r="E25">
        <v>1</v>
      </c>
      <c r="F25">
        <v>0</v>
      </c>
      <c r="G25">
        <v>0</v>
      </c>
    </row>
    <row r="26" spans="1:7">
      <c r="A26">
        <v>811771.14</v>
      </c>
      <c r="B26">
        <v>57696.69</v>
      </c>
      <c r="C26">
        <v>10218</v>
      </c>
      <c r="D26">
        <v>0.121</v>
      </c>
      <c r="E26">
        <v>0</v>
      </c>
      <c r="F26">
        <v>0</v>
      </c>
      <c r="G26">
        <v>1</v>
      </c>
    </row>
    <row r="27" spans="1:7">
      <c r="A27">
        <v>800451.94</v>
      </c>
      <c r="B27">
        <v>172415.52</v>
      </c>
      <c r="C27">
        <v>8927</v>
      </c>
      <c r="D27">
        <v>0.14000000000000001</v>
      </c>
      <c r="E27">
        <v>0</v>
      </c>
      <c r="F27">
        <v>0</v>
      </c>
      <c r="G27">
        <v>1</v>
      </c>
    </row>
    <row r="28" spans="1:7">
      <c r="A28">
        <v>783672.82</v>
      </c>
      <c r="B28">
        <v>55270.52</v>
      </c>
      <c r="C28">
        <v>9315</v>
      </c>
      <c r="D28">
        <v>0.16900000000000001</v>
      </c>
      <c r="E28">
        <v>0</v>
      </c>
      <c r="F28">
        <v>0</v>
      </c>
      <c r="G28">
        <v>1</v>
      </c>
    </row>
    <row r="29" spans="1:7">
      <c r="A29">
        <v>701641.97</v>
      </c>
      <c r="B29">
        <v>52715.1</v>
      </c>
      <c r="C29">
        <v>7223</v>
      </c>
      <c r="D29">
        <v>0.122</v>
      </c>
      <c r="E29">
        <v>0</v>
      </c>
      <c r="F29">
        <v>0</v>
      </c>
      <c r="G29">
        <v>1</v>
      </c>
    </row>
    <row r="30" spans="1:7">
      <c r="A30">
        <v>511844.41</v>
      </c>
      <c r="B30">
        <v>68600.62</v>
      </c>
      <c r="C30">
        <v>3988</v>
      </c>
      <c r="D30">
        <v>0.124</v>
      </c>
      <c r="E30">
        <v>0</v>
      </c>
      <c r="F30">
        <v>0</v>
      </c>
      <c r="G30">
        <v>0</v>
      </c>
    </row>
    <row r="31" spans="1:7">
      <c r="A31">
        <v>537383.79</v>
      </c>
      <c r="B31">
        <v>63176.73</v>
      </c>
      <c r="C31">
        <v>2390</v>
      </c>
      <c r="D31">
        <v>0.216</v>
      </c>
      <c r="E31">
        <v>0</v>
      </c>
      <c r="F31">
        <v>0</v>
      </c>
      <c r="G31">
        <v>0</v>
      </c>
    </row>
    <row r="32" spans="1:7">
      <c r="A32">
        <v>500173.02</v>
      </c>
      <c r="B32">
        <v>44970.080000000002</v>
      </c>
      <c r="C32">
        <v>2471</v>
      </c>
      <c r="D32">
        <v>0.13600000000000001</v>
      </c>
      <c r="E32">
        <v>0</v>
      </c>
      <c r="F32">
        <v>0</v>
      </c>
      <c r="G32">
        <v>0</v>
      </c>
    </row>
    <row r="33" spans="1:7">
      <c r="A33">
        <v>427917.38</v>
      </c>
      <c r="B33">
        <v>69816.350000000006</v>
      </c>
      <c r="C33">
        <v>971</v>
      </c>
      <c r="D33">
        <v>0.16800000000000001</v>
      </c>
      <c r="E33">
        <v>0</v>
      </c>
      <c r="F33">
        <v>0</v>
      </c>
      <c r="G33">
        <v>0</v>
      </c>
    </row>
    <row r="34" spans="1:7">
      <c r="A34">
        <v>641865.03</v>
      </c>
      <c r="B34">
        <v>54597.83</v>
      </c>
      <c r="C34">
        <v>9429</v>
      </c>
      <c r="D34">
        <v>0.188</v>
      </c>
      <c r="E34">
        <v>1</v>
      </c>
      <c r="F34">
        <v>0</v>
      </c>
      <c r="G34">
        <v>0</v>
      </c>
    </row>
    <row r="35" spans="1:7">
      <c r="A35">
        <v>799477.76000000001</v>
      </c>
      <c r="B35">
        <v>73771.91</v>
      </c>
      <c r="C35">
        <v>11695</v>
      </c>
      <c r="D35">
        <v>7.0000000000000007E-2</v>
      </c>
      <c r="E35">
        <v>1</v>
      </c>
      <c r="F35">
        <v>0</v>
      </c>
      <c r="G35">
        <v>0</v>
      </c>
    </row>
    <row r="36" spans="1:7">
      <c r="A36">
        <v>798952.17</v>
      </c>
      <c r="B36">
        <v>74413.88</v>
      </c>
      <c r="C36">
        <v>9449</v>
      </c>
      <c r="D36">
        <v>3.9E-2</v>
      </c>
      <c r="E36">
        <v>1</v>
      </c>
      <c r="F36">
        <v>0</v>
      </c>
      <c r="G36">
        <v>0</v>
      </c>
    </row>
    <row r="37" spans="1:7">
      <c r="A37">
        <v>800979.78</v>
      </c>
      <c r="B37">
        <v>52483.77</v>
      </c>
      <c r="C37">
        <v>10453</v>
      </c>
      <c r="D37">
        <v>0.247</v>
      </c>
      <c r="E37">
        <v>1</v>
      </c>
      <c r="F37">
        <v>0</v>
      </c>
      <c r="G37">
        <v>0</v>
      </c>
    </row>
    <row r="38" spans="1:7">
      <c r="A38">
        <v>820593.93</v>
      </c>
      <c r="B38">
        <v>75269.87</v>
      </c>
      <c r="C38">
        <v>8838</v>
      </c>
      <c r="D38">
        <v>9.1999999999999998E-2</v>
      </c>
      <c r="E38">
        <v>1</v>
      </c>
      <c r="F38">
        <v>0</v>
      </c>
      <c r="G38">
        <v>0</v>
      </c>
    </row>
    <row r="39" spans="1:7">
      <c r="A39">
        <v>718330.53</v>
      </c>
      <c r="B39">
        <v>61245.41</v>
      </c>
      <c r="C39">
        <v>8156</v>
      </c>
      <c r="D39">
        <v>0.156</v>
      </c>
      <c r="E39">
        <v>1</v>
      </c>
      <c r="F39">
        <v>0</v>
      </c>
      <c r="G39">
        <v>0</v>
      </c>
    </row>
    <row r="40" spans="1:7">
      <c r="A40">
        <v>736633.4</v>
      </c>
      <c r="B40">
        <v>93381.26</v>
      </c>
      <c r="C40">
        <v>7562</v>
      </c>
      <c r="D40">
        <v>0.19800000000000001</v>
      </c>
      <c r="E40">
        <v>1</v>
      </c>
      <c r="F40">
        <v>0</v>
      </c>
      <c r="G40">
        <v>0</v>
      </c>
    </row>
    <row r="41" spans="1:7">
      <c r="A41">
        <v>828623.85</v>
      </c>
      <c r="B41">
        <v>65012.19</v>
      </c>
      <c r="C41">
        <v>9598</v>
      </c>
      <c r="D41">
        <v>8.5000000000000006E-2</v>
      </c>
      <c r="E41">
        <v>1</v>
      </c>
      <c r="F41">
        <v>0</v>
      </c>
      <c r="G41">
        <v>0</v>
      </c>
    </row>
    <row r="42" spans="1:7">
      <c r="A42">
        <v>592195.85</v>
      </c>
      <c r="B42">
        <v>40462.94</v>
      </c>
      <c r="C42">
        <v>3660</v>
      </c>
      <c r="D42">
        <v>0.218</v>
      </c>
      <c r="E42">
        <v>0</v>
      </c>
      <c r="F42">
        <v>0</v>
      </c>
      <c r="G42">
        <v>0</v>
      </c>
    </row>
    <row r="43" spans="1:7">
      <c r="A43">
        <v>532644.46</v>
      </c>
      <c r="B43">
        <v>46123.88</v>
      </c>
      <c r="C43">
        <v>3227</v>
      </c>
      <c r="D43">
        <v>0.14299999999999999</v>
      </c>
      <c r="E43">
        <v>0</v>
      </c>
      <c r="F43">
        <v>0</v>
      </c>
      <c r="G43">
        <v>0</v>
      </c>
    </row>
    <row r="44" spans="1:7">
      <c r="A44">
        <v>657429.18000000005</v>
      </c>
      <c r="B44">
        <v>68077.539999999994</v>
      </c>
      <c r="C44">
        <v>3360</v>
      </c>
      <c r="D44">
        <v>0.128</v>
      </c>
      <c r="E44">
        <v>0</v>
      </c>
      <c r="F44">
        <v>0</v>
      </c>
      <c r="G44">
        <v>0</v>
      </c>
    </row>
    <row r="45" spans="1:7">
      <c r="A45">
        <v>605178</v>
      </c>
      <c r="B45">
        <v>64882.14</v>
      </c>
      <c r="C45">
        <v>3642</v>
      </c>
      <c r="D45">
        <v>1.9E-2</v>
      </c>
      <c r="E45">
        <v>0</v>
      </c>
      <c r="F45">
        <v>0</v>
      </c>
      <c r="G45">
        <v>0</v>
      </c>
    </row>
    <row r="46" spans="1:7">
      <c r="A46">
        <v>595467.6</v>
      </c>
      <c r="B46">
        <v>138855.51</v>
      </c>
      <c r="C46">
        <v>5145</v>
      </c>
      <c r="D46">
        <v>0.06</v>
      </c>
      <c r="E46">
        <v>0</v>
      </c>
      <c r="F46">
        <v>0</v>
      </c>
      <c r="G46">
        <v>1</v>
      </c>
    </row>
    <row r="47" spans="1:7">
      <c r="A47">
        <v>599603.4</v>
      </c>
      <c r="B47">
        <v>63630.21</v>
      </c>
      <c r="C47">
        <v>4460</v>
      </c>
      <c r="D47">
        <v>0.23499999999999999</v>
      </c>
      <c r="E47">
        <v>0</v>
      </c>
      <c r="F47">
        <v>0</v>
      </c>
      <c r="G47">
        <v>1</v>
      </c>
    </row>
    <row r="48" spans="1:7">
      <c r="A48">
        <v>614800.09</v>
      </c>
      <c r="B48">
        <v>50043.65</v>
      </c>
      <c r="C48">
        <v>3804</v>
      </c>
      <c r="D48">
        <v>0.113</v>
      </c>
      <c r="E48">
        <v>0</v>
      </c>
      <c r="F48">
        <v>0</v>
      </c>
      <c r="G48">
        <v>1</v>
      </c>
    </row>
    <row r="49" spans="1:7">
      <c r="A49">
        <v>585365.73</v>
      </c>
      <c r="B49">
        <v>42093.84</v>
      </c>
      <c r="C49">
        <v>4074</v>
      </c>
      <c r="D49">
        <v>0.155</v>
      </c>
      <c r="E49">
        <v>0</v>
      </c>
      <c r="F49">
        <v>0</v>
      </c>
      <c r="G49">
        <v>1</v>
      </c>
    </row>
    <row r="50" spans="1:7">
      <c r="A50">
        <v>622811.74</v>
      </c>
      <c r="B50">
        <v>46624.05</v>
      </c>
      <c r="C50">
        <v>5104</v>
      </c>
      <c r="D50">
        <v>0.109</v>
      </c>
      <c r="E50">
        <v>1</v>
      </c>
      <c r="F50">
        <v>0</v>
      </c>
      <c r="G50">
        <v>0</v>
      </c>
    </row>
    <row r="51" spans="1:7">
      <c r="A51">
        <v>603297.56999999995</v>
      </c>
      <c r="B51">
        <v>49710.29</v>
      </c>
      <c r="C51">
        <v>5559</v>
      </c>
      <c r="D51">
        <v>0.218</v>
      </c>
      <c r="E51">
        <v>1</v>
      </c>
      <c r="F51">
        <v>0</v>
      </c>
      <c r="G51">
        <v>0</v>
      </c>
    </row>
    <row r="52" spans="1:7">
      <c r="A52">
        <v>625672.86</v>
      </c>
      <c r="B52">
        <v>48287.85</v>
      </c>
      <c r="C52">
        <v>5150</v>
      </c>
      <c r="D52">
        <v>8.0000000000000002E-3</v>
      </c>
      <c r="E52">
        <v>1</v>
      </c>
      <c r="F52">
        <v>0</v>
      </c>
      <c r="G52">
        <v>0</v>
      </c>
    </row>
    <row r="53" spans="1:7">
      <c r="A53">
        <v>773815.14</v>
      </c>
      <c r="B53">
        <v>65312.49</v>
      </c>
      <c r="C53">
        <v>7189</v>
      </c>
      <c r="D53">
        <v>0.05</v>
      </c>
      <c r="E53">
        <v>1</v>
      </c>
      <c r="F53">
        <v>0</v>
      </c>
      <c r="G53">
        <v>0</v>
      </c>
    </row>
    <row r="54" spans="1:7">
      <c r="A54">
        <v>463534.25</v>
      </c>
      <c r="B54">
        <v>53015.46</v>
      </c>
      <c r="C54">
        <v>3279</v>
      </c>
      <c r="D54">
        <v>8.6999999999999994E-2</v>
      </c>
      <c r="E54">
        <v>0</v>
      </c>
      <c r="F54">
        <v>0</v>
      </c>
      <c r="G54">
        <v>1</v>
      </c>
    </row>
    <row r="55" spans="1:7">
      <c r="A55">
        <v>746677.75</v>
      </c>
      <c r="B55">
        <v>99874.01</v>
      </c>
      <c r="C55">
        <v>5887</v>
      </c>
      <c r="D55">
        <v>0.26200000000000001</v>
      </c>
      <c r="E55">
        <v>0</v>
      </c>
      <c r="F55">
        <v>0</v>
      </c>
      <c r="G55">
        <v>1</v>
      </c>
    </row>
    <row r="56" spans="1:7">
      <c r="A56">
        <v>720852.5</v>
      </c>
      <c r="B56">
        <v>81195.5</v>
      </c>
      <c r="C56">
        <v>5516</v>
      </c>
      <c r="D56">
        <v>0.106</v>
      </c>
      <c r="E56">
        <v>0</v>
      </c>
      <c r="F56">
        <v>0</v>
      </c>
      <c r="G56">
        <v>1</v>
      </c>
    </row>
    <row r="57" spans="1:7">
      <c r="A57">
        <v>487464.91</v>
      </c>
      <c r="B57">
        <v>27808.6</v>
      </c>
      <c r="C57">
        <v>2863</v>
      </c>
      <c r="D57">
        <v>0.08</v>
      </c>
      <c r="E57">
        <v>0</v>
      </c>
      <c r="F57">
        <v>0</v>
      </c>
      <c r="G57">
        <v>1</v>
      </c>
    </row>
    <row r="58" spans="1:7">
      <c r="A58">
        <v>518049.26</v>
      </c>
      <c r="B58">
        <v>19365.060000000001</v>
      </c>
      <c r="C58">
        <v>2378</v>
      </c>
      <c r="D58">
        <v>0</v>
      </c>
      <c r="E58">
        <v>0</v>
      </c>
      <c r="F58">
        <v>0</v>
      </c>
      <c r="G58">
        <v>0</v>
      </c>
    </row>
    <row r="59" spans="1:7">
      <c r="A59">
        <v>500298.48</v>
      </c>
      <c r="B59">
        <v>59405.68</v>
      </c>
      <c r="C59">
        <v>2515</v>
      </c>
      <c r="D59">
        <v>3.9E-2</v>
      </c>
      <c r="E59">
        <v>0</v>
      </c>
      <c r="F59">
        <v>0</v>
      </c>
      <c r="G59">
        <v>0</v>
      </c>
    </row>
    <row r="60" spans="1:7">
      <c r="A60">
        <v>617291.15</v>
      </c>
      <c r="B60">
        <v>118910.48</v>
      </c>
      <c r="C60">
        <v>4022</v>
      </c>
      <c r="D60">
        <v>0.13700000000000001</v>
      </c>
      <c r="E60">
        <v>0</v>
      </c>
      <c r="F60">
        <v>0</v>
      </c>
      <c r="G60">
        <v>0</v>
      </c>
    </row>
    <row r="61" spans="1:7">
      <c r="A61">
        <v>553756.43000000005</v>
      </c>
      <c r="B61">
        <v>52952.12</v>
      </c>
      <c r="C61">
        <v>4377</v>
      </c>
      <c r="D61">
        <v>9.1999999999999998E-2</v>
      </c>
      <c r="E61">
        <v>0</v>
      </c>
      <c r="F61">
        <v>0</v>
      </c>
      <c r="G61">
        <v>0</v>
      </c>
    </row>
    <row r="62" spans="1:7">
      <c r="A62">
        <v>749559.71</v>
      </c>
      <c r="B62">
        <v>74907.98</v>
      </c>
      <c r="C62">
        <v>5306</v>
      </c>
      <c r="D62">
        <v>6.2E-2</v>
      </c>
      <c r="E62">
        <v>0</v>
      </c>
      <c r="F62">
        <v>1</v>
      </c>
      <c r="G62">
        <v>0</v>
      </c>
    </row>
    <row r="63" spans="1:7">
      <c r="A63">
        <v>615966.48</v>
      </c>
      <c r="B63">
        <v>37284.660000000003</v>
      </c>
      <c r="C63">
        <v>3928</v>
      </c>
      <c r="D63">
        <v>7.3999999999999996E-2</v>
      </c>
      <c r="E63">
        <v>0</v>
      </c>
      <c r="F63">
        <v>1</v>
      </c>
      <c r="G63">
        <v>0</v>
      </c>
    </row>
    <row r="64" spans="1:7">
      <c r="A64">
        <v>572011.19999999995</v>
      </c>
      <c r="B64">
        <v>50343.19</v>
      </c>
      <c r="C64">
        <v>3845</v>
      </c>
      <c r="D64">
        <v>0.113</v>
      </c>
      <c r="E64">
        <v>0</v>
      </c>
      <c r="F64">
        <v>1</v>
      </c>
      <c r="G64">
        <v>0</v>
      </c>
    </row>
    <row r="65" spans="1:7">
      <c r="A65">
        <v>761860.19</v>
      </c>
      <c r="B65">
        <v>74954.47</v>
      </c>
      <c r="C65">
        <v>6620</v>
      </c>
      <c r="D65">
        <v>5.3999999999999999E-2</v>
      </c>
      <c r="E65">
        <v>0</v>
      </c>
      <c r="F65">
        <v>1</v>
      </c>
      <c r="G65">
        <v>0</v>
      </c>
    </row>
    <row r="66" spans="1:7">
      <c r="A66">
        <v>784502.68</v>
      </c>
      <c r="B66">
        <v>70040.31</v>
      </c>
      <c r="C66">
        <v>9175</v>
      </c>
      <c r="D66">
        <v>0.107</v>
      </c>
      <c r="E66">
        <v>0</v>
      </c>
      <c r="F66">
        <v>0</v>
      </c>
      <c r="G66">
        <v>1</v>
      </c>
    </row>
    <row r="67" spans="1:7">
      <c r="A67">
        <v>717141.55</v>
      </c>
      <c r="B67">
        <v>51148.69</v>
      </c>
      <c r="C67">
        <v>7940</v>
      </c>
      <c r="D67">
        <v>0.156</v>
      </c>
      <c r="E67">
        <v>0</v>
      </c>
      <c r="F67">
        <v>0</v>
      </c>
      <c r="G67">
        <v>1</v>
      </c>
    </row>
    <row r="68" spans="1:7">
      <c r="A68">
        <v>685379.08</v>
      </c>
      <c r="B68">
        <v>79346.100000000006</v>
      </c>
      <c r="C68">
        <v>9628</v>
      </c>
      <c r="D68">
        <v>0.10199999999999999</v>
      </c>
      <c r="E68">
        <v>0</v>
      </c>
      <c r="F68">
        <v>0</v>
      </c>
      <c r="G68">
        <v>1</v>
      </c>
    </row>
    <row r="69" spans="1:7">
      <c r="A69">
        <v>740496.65</v>
      </c>
      <c r="B69">
        <v>42018.400000000001</v>
      </c>
      <c r="C69">
        <v>8296</v>
      </c>
      <c r="D69">
        <v>0.115</v>
      </c>
      <c r="E69">
        <v>0</v>
      </c>
      <c r="F69">
        <v>0</v>
      </c>
      <c r="G69">
        <v>1</v>
      </c>
    </row>
    <row r="70" spans="1:7">
      <c r="A70">
        <v>661927.14</v>
      </c>
      <c r="B70">
        <v>70937.240000000005</v>
      </c>
      <c r="C70">
        <v>3595</v>
      </c>
      <c r="D70">
        <v>0.14099999999999999</v>
      </c>
      <c r="E70">
        <v>0</v>
      </c>
      <c r="F70">
        <v>0</v>
      </c>
      <c r="G70">
        <v>0</v>
      </c>
    </row>
    <row r="71" spans="1:7">
      <c r="A71">
        <v>479050.5</v>
      </c>
      <c r="B71">
        <v>36813.449999999997</v>
      </c>
      <c r="C71">
        <v>2834</v>
      </c>
      <c r="D71">
        <v>0.191</v>
      </c>
      <c r="E71">
        <v>0</v>
      </c>
      <c r="F71">
        <v>0</v>
      </c>
      <c r="G71">
        <v>0</v>
      </c>
    </row>
    <row r="72" spans="1:7">
      <c r="A72">
        <v>605023.87</v>
      </c>
      <c r="B72">
        <v>60571.82</v>
      </c>
      <c r="C72">
        <v>3193</v>
      </c>
      <c r="D72">
        <v>0.19700000000000001</v>
      </c>
      <c r="E72">
        <v>0</v>
      </c>
      <c r="F72">
        <v>0</v>
      </c>
      <c r="G72">
        <v>0</v>
      </c>
    </row>
    <row r="73" spans="1:7">
      <c r="A73">
        <v>674774.09</v>
      </c>
      <c r="B73">
        <v>55081.16</v>
      </c>
      <c r="C73">
        <v>5485</v>
      </c>
      <c r="D73">
        <v>3.5999999999999997E-2</v>
      </c>
      <c r="E73">
        <v>0</v>
      </c>
      <c r="F73">
        <v>0</v>
      </c>
      <c r="G73">
        <v>0</v>
      </c>
    </row>
    <row r="74" spans="1:7">
      <c r="A74">
        <v>616069.41</v>
      </c>
      <c r="B74">
        <v>46201.46</v>
      </c>
      <c r="C74">
        <v>5918</v>
      </c>
      <c r="D74">
        <v>0.27700000000000002</v>
      </c>
      <c r="E74">
        <v>0</v>
      </c>
      <c r="F74">
        <v>0</v>
      </c>
      <c r="G74">
        <v>0</v>
      </c>
    </row>
    <row r="75" spans="1:7">
      <c r="A75">
        <v>630829.93999999994</v>
      </c>
      <c r="B75">
        <v>53762.92</v>
      </c>
      <c r="C75">
        <v>6821</v>
      </c>
      <c r="D75">
        <v>6.6000000000000003E-2</v>
      </c>
      <c r="E75">
        <v>0</v>
      </c>
      <c r="F75">
        <v>0</v>
      </c>
      <c r="G75">
        <v>0</v>
      </c>
    </row>
    <row r="76" spans="1:7">
      <c r="A76">
        <v>788087.68</v>
      </c>
      <c r="B76">
        <v>70144.78</v>
      </c>
      <c r="C76">
        <v>6806</v>
      </c>
      <c r="D76">
        <v>0.17799999999999999</v>
      </c>
      <c r="E76">
        <v>0</v>
      </c>
      <c r="F76">
        <v>0</v>
      </c>
      <c r="G76">
        <v>0</v>
      </c>
    </row>
    <row r="77" spans="1:7">
      <c r="A77">
        <v>680840.36</v>
      </c>
      <c r="B77">
        <v>58749.63</v>
      </c>
      <c r="C77">
        <v>8252</v>
      </c>
      <c r="D77">
        <v>0.20300000000000001</v>
      </c>
      <c r="E77">
        <v>0</v>
      </c>
      <c r="F77">
        <v>0</v>
      </c>
      <c r="G77">
        <v>0</v>
      </c>
    </row>
    <row r="78" spans="1:7">
      <c r="A78">
        <v>643657.47</v>
      </c>
      <c r="B78">
        <v>56973.18</v>
      </c>
      <c r="C78">
        <v>6662</v>
      </c>
      <c r="D78">
        <v>0.1</v>
      </c>
      <c r="E78">
        <v>0</v>
      </c>
      <c r="F78">
        <v>1</v>
      </c>
      <c r="G78">
        <v>0</v>
      </c>
    </row>
    <row r="79" spans="1:7">
      <c r="A79">
        <v>691112.6</v>
      </c>
      <c r="B79">
        <v>54872.82</v>
      </c>
      <c r="C79">
        <v>5962</v>
      </c>
      <c r="D79">
        <v>6.4000000000000001E-2</v>
      </c>
      <c r="E79">
        <v>0</v>
      </c>
      <c r="F79">
        <v>1</v>
      </c>
      <c r="G79">
        <v>0</v>
      </c>
    </row>
    <row r="80" spans="1:7">
      <c r="A80">
        <v>776922.17</v>
      </c>
      <c r="B80">
        <v>80562.81</v>
      </c>
      <c r="C80">
        <v>7470</v>
      </c>
      <c r="D80">
        <v>0.17199999999999999</v>
      </c>
      <c r="E80">
        <v>0</v>
      </c>
      <c r="F80">
        <v>1</v>
      </c>
      <c r="G80">
        <v>0</v>
      </c>
    </row>
    <row r="81" spans="1:7">
      <c r="A81">
        <v>636561.34</v>
      </c>
      <c r="B81">
        <v>77999.899999999994</v>
      </c>
      <c r="C81">
        <v>5974</v>
      </c>
      <c r="D81">
        <v>0.252</v>
      </c>
      <c r="E81">
        <v>0</v>
      </c>
      <c r="F81">
        <v>1</v>
      </c>
      <c r="G81">
        <v>0</v>
      </c>
    </row>
    <row r="82" spans="1:7">
      <c r="A82">
        <v>621369.57999999996</v>
      </c>
      <c r="B82">
        <v>60881.01</v>
      </c>
      <c r="C82">
        <v>5410</v>
      </c>
      <c r="D82">
        <v>0.17899999999999999</v>
      </c>
      <c r="E82">
        <v>0</v>
      </c>
      <c r="F82">
        <v>0</v>
      </c>
      <c r="G82">
        <v>1</v>
      </c>
    </row>
    <row r="83" spans="1:7">
      <c r="A83">
        <v>682208.01</v>
      </c>
      <c r="B83">
        <v>60628.38</v>
      </c>
      <c r="C83">
        <v>4451</v>
      </c>
      <c r="D83">
        <v>9.5000000000000001E-2</v>
      </c>
      <c r="E83">
        <v>0</v>
      </c>
      <c r="F83">
        <v>0</v>
      </c>
      <c r="G83">
        <v>1</v>
      </c>
    </row>
    <row r="84" spans="1:7">
      <c r="A84">
        <v>727241.86</v>
      </c>
      <c r="B84">
        <v>72731.14</v>
      </c>
      <c r="C84">
        <v>4644</v>
      </c>
      <c r="D84">
        <v>8.4000000000000005E-2</v>
      </c>
      <c r="E84">
        <v>0</v>
      </c>
      <c r="F84">
        <v>0</v>
      </c>
      <c r="G84">
        <v>1</v>
      </c>
    </row>
    <row r="85" spans="1:7">
      <c r="A85">
        <v>569100.78</v>
      </c>
      <c r="B85">
        <v>36475.71</v>
      </c>
      <c r="C85">
        <v>3559</v>
      </c>
      <c r="D85">
        <v>0.03</v>
      </c>
      <c r="E85">
        <v>0</v>
      </c>
      <c r="F85">
        <v>0</v>
      </c>
      <c r="G85">
        <v>1</v>
      </c>
    </row>
    <row r="86" spans="1:7">
      <c r="A86">
        <v>574436.29</v>
      </c>
      <c r="B86">
        <v>55388.11</v>
      </c>
      <c r="C86">
        <v>3091</v>
      </c>
      <c r="D86">
        <v>0.108</v>
      </c>
      <c r="E86">
        <v>0</v>
      </c>
      <c r="F86">
        <v>0</v>
      </c>
      <c r="G86">
        <v>1</v>
      </c>
    </row>
    <row r="87" spans="1:7">
      <c r="A87">
        <v>611766.72</v>
      </c>
      <c r="B87">
        <v>88443.77</v>
      </c>
      <c r="C87">
        <v>4004</v>
      </c>
      <c r="D87">
        <v>0.20599999999999999</v>
      </c>
      <c r="E87">
        <v>0</v>
      </c>
      <c r="F87">
        <v>0</v>
      </c>
      <c r="G87">
        <v>1</v>
      </c>
    </row>
    <row r="88" spans="1:7">
      <c r="A88">
        <v>614596.31999999995</v>
      </c>
      <c r="B88">
        <v>78231.91</v>
      </c>
      <c r="C88">
        <v>3788</v>
      </c>
      <c r="D88">
        <v>5.8999999999999997E-2</v>
      </c>
      <c r="E88">
        <v>0</v>
      </c>
      <c r="F88">
        <v>0</v>
      </c>
      <c r="G88">
        <v>1</v>
      </c>
    </row>
    <row r="89" spans="1:7">
      <c r="A89">
        <v>450711.92</v>
      </c>
      <c r="B89">
        <v>18996.32</v>
      </c>
      <c r="C89">
        <v>1260</v>
      </c>
      <c r="D89">
        <v>0.14499999999999999</v>
      </c>
      <c r="E89">
        <v>0</v>
      </c>
      <c r="F89">
        <v>0</v>
      </c>
      <c r="G89">
        <v>1</v>
      </c>
    </row>
    <row r="90" spans="1:7">
      <c r="A90">
        <v>711213.46</v>
      </c>
      <c r="B90">
        <v>50517.94</v>
      </c>
      <c r="C90">
        <v>7024</v>
      </c>
      <c r="D90">
        <v>2.9000000000000001E-2</v>
      </c>
      <c r="E90">
        <v>0</v>
      </c>
      <c r="F90">
        <v>1</v>
      </c>
      <c r="G90">
        <v>0</v>
      </c>
    </row>
    <row r="91" spans="1:7">
      <c r="A91">
        <v>627171.9</v>
      </c>
      <c r="B91">
        <v>141540.29</v>
      </c>
      <c r="C91">
        <v>5400</v>
      </c>
      <c r="D91">
        <v>1.2999999999999999E-2</v>
      </c>
      <c r="E91">
        <v>0</v>
      </c>
      <c r="F91">
        <v>1</v>
      </c>
      <c r="G91">
        <v>0</v>
      </c>
    </row>
    <row r="92" spans="1:7">
      <c r="A92">
        <v>739852.58</v>
      </c>
      <c r="B92">
        <v>82116.19</v>
      </c>
      <c r="C92">
        <v>5988</v>
      </c>
      <c r="D92">
        <v>0.04</v>
      </c>
      <c r="E92">
        <v>0</v>
      </c>
      <c r="F92">
        <v>1</v>
      </c>
      <c r="G92">
        <v>0</v>
      </c>
    </row>
    <row r="93" spans="1:7">
      <c r="A93">
        <v>586307.22</v>
      </c>
      <c r="B93">
        <v>31207.51</v>
      </c>
      <c r="C93">
        <v>3701</v>
      </c>
      <c r="D93">
        <v>4.2999999999999997E-2</v>
      </c>
      <c r="E93">
        <v>0</v>
      </c>
      <c r="F93">
        <v>1</v>
      </c>
      <c r="G93">
        <v>0</v>
      </c>
    </row>
    <row r="94" spans="1:7">
      <c r="A94">
        <v>585937.48</v>
      </c>
      <c r="B94">
        <v>38966.589999999997</v>
      </c>
      <c r="C94">
        <v>4509</v>
      </c>
      <c r="D94">
        <v>0.19400000000000001</v>
      </c>
      <c r="E94">
        <v>0</v>
      </c>
      <c r="F94">
        <v>0</v>
      </c>
      <c r="G94">
        <v>1</v>
      </c>
    </row>
    <row r="95" spans="1:7">
      <c r="A95">
        <v>753473.55</v>
      </c>
      <c r="B95">
        <v>67439.3</v>
      </c>
      <c r="C95">
        <v>6477</v>
      </c>
      <c r="D95">
        <v>0</v>
      </c>
      <c r="E95">
        <v>0</v>
      </c>
      <c r="F95">
        <v>0</v>
      </c>
      <c r="G95">
        <v>1</v>
      </c>
    </row>
    <row r="96" spans="1:7">
      <c r="A96">
        <v>838250.32</v>
      </c>
      <c r="B96">
        <v>86421.88</v>
      </c>
      <c r="C96">
        <v>7970</v>
      </c>
      <c r="D96">
        <v>7.2999999999999995E-2</v>
      </c>
      <c r="E96">
        <v>0</v>
      </c>
      <c r="F96">
        <v>0</v>
      </c>
      <c r="G96">
        <v>1</v>
      </c>
    </row>
    <row r="97" spans="1:7">
      <c r="A97">
        <v>607898.12</v>
      </c>
      <c r="B97">
        <v>9534.65</v>
      </c>
      <c r="C97">
        <v>6057</v>
      </c>
      <c r="D97">
        <v>7.3999999999999996E-2</v>
      </c>
      <c r="E97">
        <v>0</v>
      </c>
      <c r="F97">
        <v>0</v>
      </c>
      <c r="G97">
        <v>1</v>
      </c>
    </row>
    <row r="98" spans="1:7">
      <c r="A98">
        <v>691113.62</v>
      </c>
      <c r="B98">
        <v>61132.07</v>
      </c>
      <c r="C98">
        <v>6394</v>
      </c>
      <c r="D98">
        <v>0.16300000000000001</v>
      </c>
      <c r="E98">
        <v>0</v>
      </c>
      <c r="F98">
        <v>0</v>
      </c>
      <c r="G98">
        <v>1</v>
      </c>
    </row>
    <row r="99" spans="1:7">
      <c r="A99">
        <v>735509.4</v>
      </c>
      <c r="B99">
        <v>78839.39</v>
      </c>
      <c r="C99">
        <v>5150</v>
      </c>
      <c r="D99">
        <v>0.17100000000000001</v>
      </c>
      <c r="E99">
        <v>0</v>
      </c>
      <c r="F99">
        <v>0</v>
      </c>
      <c r="G99">
        <v>1</v>
      </c>
    </row>
    <row r="100" spans="1:7">
      <c r="A100">
        <v>605775.32999999996</v>
      </c>
      <c r="B100">
        <v>38752.800000000003</v>
      </c>
      <c r="C100">
        <v>4712</v>
      </c>
      <c r="D100">
        <v>7.4999999999999997E-2</v>
      </c>
      <c r="E100">
        <v>0</v>
      </c>
      <c r="F100">
        <v>0</v>
      </c>
      <c r="G100">
        <v>1</v>
      </c>
    </row>
    <row r="101" spans="1:7">
      <c r="A101">
        <v>675177.68</v>
      </c>
      <c r="B101">
        <v>55101.1</v>
      </c>
      <c r="C101">
        <v>5281</v>
      </c>
      <c r="D101">
        <v>0.189</v>
      </c>
      <c r="E101">
        <v>0</v>
      </c>
      <c r="F101">
        <v>0</v>
      </c>
      <c r="G101">
        <v>1</v>
      </c>
    </row>
    <row r="102" spans="1:7">
      <c r="A102">
        <v>635181.35</v>
      </c>
      <c r="B102">
        <v>53084.76</v>
      </c>
      <c r="C102">
        <v>3642</v>
      </c>
      <c r="D102">
        <v>0.15</v>
      </c>
      <c r="E102">
        <v>0</v>
      </c>
      <c r="F102">
        <v>0</v>
      </c>
      <c r="G102">
        <v>0</v>
      </c>
    </row>
    <row r="103" spans="1:7">
      <c r="A103">
        <v>586626.93999999994</v>
      </c>
      <c r="B103">
        <v>63101.59</v>
      </c>
      <c r="C103">
        <v>4373</v>
      </c>
      <c r="D103">
        <v>0.17299999999999999</v>
      </c>
      <c r="E103">
        <v>0</v>
      </c>
      <c r="F103">
        <v>0</v>
      </c>
      <c r="G103">
        <v>0</v>
      </c>
    </row>
    <row r="104" spans="1:7">
      <c r="A104">
        <v>740102.64</v>
      </c>
      <c r="B104">
        <v>90084.4</v>
      </c>
      <c r="C104">
        <v>6832</v>
      </c>
      <c r="D104">
        <v>0.185</v>
      </c>
      <c r="E104">
        <v>0</v>
      </c>
      <c r="F104">
        <v>0</v>
      </c>
      <c r="G104">
        <v>0</v>
      </c>
    </row>
    <row r="105" spans="1:7">
      <c r="A105">
        <v>625514.04</v>
      </c>
      <c r="B105">
        <v>32266.639999999999</v>
      </c>
      <c r="C105">
        <v>2414</v>
      </c>
      <c r="D105">
        <v>0.08</v>
      </c>
      <c r="E105">
        <v>0</v>
      </c>
      <c r="F105">
        <v>0</v>
      </c>
      <c r="G105">
        <v>0</v>
      </c>
    </row>
    <row r="106" spans="1:7">
      <c r="A106">
        <v>727227.2</v>
      </c>
      <c r="B106">
        <v>57919.07</v>
      </c>
      <c r="C106">
        <v>7374</v>
      </c>
      <c r="D106">
        <v>0.10299999999999999</v>
      </c>
      <c r="E106">
        <v>0</v>
      </c>
      <c r="F106">
        <v>0</v>
      </c>
      <c r="G106">
        <v>1</v>
      </c>
    </row>
    <row r="107" spans="1:7">
      <c r="A107">
        <v>783797.89</v>
      </c>
      <c r="B107">
        <v>74679.350000000006</v>
      </c>
      <c r="C107">
        <v>8739</v>
      </c>
      <c r="D107">
        <v>5.6000000000000001E-2</v>
      </c>
      <c r="E107">
        <v>0</v>
      </c>
      <c r="F107">
        <v>0</v>
      </c>
      <c r="G107">
        <v>1</v>
      </c>
    </row>
    <row r="108" spans="1:7">
      <c r="A108">
        <v>795153.84</v>
      </c>
      <c r="B108">
        <v>64294.23</v>
      </c>
      <c r="C108">
        <v>6992</v>
      </c>
      <c r="D108">
        <v>0.13300000000000001</v>
      </c>
      <c r="E108">
        <v>0</v>
      </c>
      <c r="F108">
        <v>0</v>
      </c>
      <c r="G108">
        <v>1</v>
      </c>
    </row>
    <row r="109" spans="1:7">
      <c r="A109">
        <v>665594.93999999994</v>
      </c>
      <c r="B109">
        <v>31042.03</v>
      </c>
      <c r="C109">
        <v>7107</v>
      </c>
      <c r="D109">
        <v>5.0999999999999997E-2</v>
      </c>
      <c r="E109">
        <v>0</v>
      </c>
      <c r="F109">
        <v>0</v>
      </c>
      <c r="G109">
        <v>1</v>
      </c>
    </row>
    <row r="110" spans="1:7">
      <c r="A110">
        <v>709478.39</v>
      </c>
      <c r="B110">
        <v>75265.02</v>
      </c>
      <c r="C110">
        <v>6975</v>
      </c>
      <c r="D110">
        <v>0.157</v>
      </c>
      <c r="E110">
        <v>0</v>
      </c>
      <c r="F110">
        <v>0</v>
      </c>
      <c r="G110">
        <v>0</v>
      </c>
    </row>
    <row r="111" spans="1:7">
      <c r="A111">
        <v>664162.49</v>
      </c>
      <c r="B111">
        <v>69411.7</v>
      </c>
      <c r="C111">
        <v>5493</v>
      </c>
      <c r="D111">
        <v>0.29199999999999998</v>
      </c>
      <c r="E111">
        <v>0</v>
      </c>
      <c r="F111">
        <v>0</v>
      </c>
      <c r="G111">
        <v>0</v>
      </c>
    </row>
    <row r="112" spans="1:7">
      <c r="A112">
        <v>633494.21</v>
      </c>
      <c r="B112">
        <v>51056.15</v>
      </c>
      <c r="C112">
        <v>5686</v>
      </c>
      <c r="D112">
        <v>8.8999999999999996E-2</v>
      </c>
      <c r="E112">
        <v>0</v>
      </c>
      <c r="F112">
        <v>0</v>
      </c>
      <c r="G112">
        <v>0</v>
      </c>
    </row>
    <row r="113" spans="1:7">
      <c r="A113">
        <v>713611.16</v>
      </c>
      <c r="B113">
        <v>52758.01</v>
      </c>
      <c r="C113">
        <v>4063</v>
      </c>
      <c r="D113">
        <v>5.7000000000000002E-2</v>
      </c>
      <c r="E113">
        <v>0</v>
      </c>
      <c r="F113">
        <v>0</v>
      </c>
      <c r="G113">
        <v>0</v>
      </c>
    </row>
    <row r="114" spans="1:7">
      <c r="A114">
        <v>778397.97</v>
      </c>
      <c r="B114">
        <v>61426.04</v>
      </c>
      <c r="C114">
        <v>8966</v>
      </c>
      <c r="D114">
        <v>0.17299999999999999</v>
      </c>
      <c r="E114">
        <v>0</v>
      </c>
      <c r="F114">
        <v>0</v>
      </c>
      <c r="G114">
        <v>1</v>
      </c>
    </row>
    <row r="115" spans="1:7">
      <c r="A115">
        <v>873380.02</v>
      </c>
      <c r="B115">
        <v>80176.34</v>
      </c>
      <c r="C115">
        <v>9489</v>
      </c>
      <c r="D115">
        <v>0.14199999999999999</v>
      </c>
      <c r="E115">
        <v>0</v>
      </c>
      <c r="F115">
        <v>0</v>
      </c>
      <c r="G115">
        <v>1</v>
      </c>
    </row>
    <row r="116" spans="1:7">
      <c r="A116">
        <v>697287.9</v>
      </c>
      <c r="B116">
        <v>33605.18</v>
      </c>
      <c r="C116">
        <v>9225</v>
      </c>
      <c r="D116">
        <v>0.159</v>
      </c>
      <c r="E116">
        <v>0</v>
      </c>
      <c r="F116">
        <v>0</v>
      </c>
      <c r="G116">
        <v>1</v>
      </c>
    </row>
    <row r="117" spans="1:7">
      <c r="A117">
        <v>718074.79</v>
      </c>
      <c r="B117">
        <v>25990.54</v>
      </c>
      <c r="C117">
        <v>9249</v>
      </c>
      <c r="D117">
        <v>0.13900000000000001</v>
      </c>
      <c r="E117">
        <v>0</v>
      </c>
      <c r="F117">
        <v>0</v>
      </c>
      <c r="G117">
        <v>1</v>
      </c>
    </row>
    <row r="118" spans="1:7">
      <c r="A118">
        <v>714942.43</v>
      </c>
      <c r="B118">
        <v>43685.14</v>
      </c>
      <c r="C118">
        <v>7821</v>
      </c>
      <c r="D118">
        <v>0.19</v>
      </c>
      <c r="E118">
        <v>0</v>
      </c>
      <c r="F118">
        <v>0</v>
      </c>
      <c r="G118">
        <v>1</v>
      </c>
    </row>
    <row r="119" spans="1:7">
      <c r="A119">
        <v>820519.04</v>
      </c>
      <c r="B119">
        <v>57360.01</v>
      </c>
      <c r="C119">
        <v>8434</v>
      </c>
      <c r="D119">
        <v>0.151</v>
      </c>
      <c r="E119">
        <v>0</v>
      </c>
      <c r="F119">
        <v>0</v>
      </c>
      <c r="G119">
        <v>1</v>
      </c>
    </row>
    <row r="120" spans="1:7">
      <c r="A120">
        <v>684217.32</v>
      </c>
      <c r="B120">
        <v>42415.47</v>
      </c>
      <c r="C120">
        <v>8512</v>
      </c>
      <c r="D120">
        <v>0.13300000000000001</v>
      </c>
      <c r="E120">
        <v>0</v>
      </c>
      <c r="F120">
        <v>0</v>
      </c>
      <c r="G120">
        <v>1</v>
      </c>
    </row>
    <row r="121" spans="1:7">
      <c r="A121">
        <v>735480.19</v>
      </c>
      <c r="B121">
        <v>54968.98</v>
      </c>
      <c r="C121">
        <v>7816</v>
      </c>
      <c r="D121">
        <v>0.23200000000000001</v>
      </c>
      <c r="E121">
        <v>0</v>
      </c>
      <c r="F121">
        <v>0</v>
      </c>
      <c r="G121">
        <v>1</v>
      </c>
    </row>
    <row r="122" spans="1:7">
      <c r="A122">
        <v>509484.81</v>
      </c>
      <c r="B122">
        <v>43896.13</v>
      </c>
      <c r="C122">
        <v>3853</v>
      </c>
      <c r="D122">
        <v>8.7999999999999995E-2</v>
      </c>
      <c r="E122">
        <v>1</v>
      </c>
      <c r="F122">
        <v>0</v>
      </c>
      <c r="G122">
        <v>0</v>
      </c>
    </row>
    <row r="123" spans="1:7">
      <c r="A123">
        <v>654317.09</v>
      </c>
      <c r="B123">
        <v>83044.17</v>
      </c>
      <c r="C123">
        <v>3694</v>
      </c>
      <c r="D123">
        <v>0</v>
      </c>
      <c r="E123">
        <v>1</v>
      </c>
      <c r="F123">
        <v>0</v>
      </c>
      <c r="G123">
        <v>0</v>
      </c>
    </row>
    <row r="124" spans="1:7">
      <c r="A124">
        <v>557487.26</v>
      </c>
      <c r="B124">
        <v>48396.13</v>
      </c>
      <c r="C124">
        <v>4423</v>
      </c>
      <c r="D124">
        <v>6.9000000000000006E-2</v>
      </c>
      <c r="E124">
        <v>1</v>
      </c>
      <c r="F124">
        <v>0</v>
      </c>
      <c r="G124">
        <v>0</v>
      </c>
    </row>
    <row r="125" spans="1:7">
      <c r="A125">
        <v>441275.42</v>
      </c>
      <c r="B125">
        <v>19063.48</v>
      </c>
      <c r="C125">
        <v>1906</v>
      </c>
      <c r="D125">
        <v>0.216</v>
      </c>
      <c r="E125">
        <v>1</v>
      </c>
      <c r="F125">
        <v>0</v>
      </c>
      <c r="G125">
        <v>0</v>
      </c>
    </row>
    <row r="126" spans="1:7">
      <c r="A126">
        <v>914544.17</v>
      </c>
      <c r="B126">
        <v>61541.21</v>
      </c>
      <c r="C126">
        <v>10396</v>
      </c>
      <c r="D126">
        <v>0.123</v>
      </c>
      <c r="E126">
        <v>0</v>
      </c>
      <c r="F126">
        <v>1</v>
      </c>
      <c r="G126">
        <v>0</v>
      </c>
    </row>
    <row r="127" spans="1:7">
      <c r="A127">
        <v>842439.67</v>
      </c>
      <c r="B127">
        <v>44747</v>
      </c>
      <c r="C127">
        <v>11076</v>
      </c>
      <c r="D127">
        <v>0.17599999999999999</v>
      </c>
      <c r="E127">
        <v>0</v>
      </c>
      <c r="F127">
        <v>1</v>
      </c>
      <c r="G127">
        <v>0</v>
      </c>
    </row>
    <row r="128" spans="1:7">
      <c r="A128">
        <v>842157.92</v>
      </c>
      <c r="B128">
        <v>56517.9</v>
      </c>
      <c r="C128">
        <v>9574</v>
      </c>
      <c r="D128">
        <v>0.20399999999999999</v>
      </c>
      <c r="E128">
        <v>0</v>
      </c>
      <c r="F128">
        <v>1</v>
      </c>
      <c r="G128">
        <v>0</v>
      </c>
    </row>
    <row r="129" spans="1:7">
      <c r="A129">
        <v>697155.3</v>
      </c>
      <c r="B129">
        <v>37828.5</v>
      </c>
      <c r="C129">
        <v>8221</v>
      </c>
      <c r="D129">
        <v>9.6000000000000002E-2</v>
      </c>
      <c r="E129">
        <v>0</v>
      </c>
      <c r="F129">
        <v>1</v>
      </c>
      <c r="G129">
        <v>0</v>
      </c>
    </row>
    <row r="130" spans="1:7">
      <c r="A130">
        <v>849018.3</v>
      </c>
      <c r="B130">
        <v>66250.53</v>
      </c>
      <c r="C130">
        <v>10618</v>
      </c>
      <c r="D130">
        <v>0.14199999999999999</v>
      </c>
      <c r="E130">
        <v>0</v>
      </c>
      <c r="F130">
        <v>0</v>
      </c>
      <c r="G130">
        <v>0</v>
      </c>
    </row>
    <row r="131" spans="1:7">
      <c r="A131">
        <v>801830.35</v>
      </c>
      <c r="B131">
        <v>68410.929999999993</v>
      </c>
      <c r="C131">
        <v>10596</v>
      </c>
      <c r="D131">
        <v>0.20699999999999999</v>
      </c>
      <c r="E131">
        <v>0</v>
      </c>
      <c r="F131">
        <v>0</v>
      </c>
      <c r="G131">
        <v>0</v>
      </c>
    </row>
    <row r="132" spans="1:7">
      <c r="A132">
        <v>725235.28</v>
      </c>
      <c r="B132">
        <v>50735.63</v>
      </c>
      <c r="C132">
        <v>9619</v>
      </c>
      <c r="D132">
        <v>0.14399999999999999</v>
      </c>
      <c r="E132">
        <v>0</v>
      </c>
      <c r="F132">
        <v>0</v>
      </c>
      <c r="G132">
        <v>0</v>
      </c>
    </row>
    <row r="133" spans="1:7">
      <c r="A133">
        <v>811452.72</v>
      </c>
      <c r="B133">
        <v>66455.8</v>
      </c>
      <c r="C133">
        <v>10836</v>
      </c>
      <c r="D133">
        <v>8.8999999999999996E-2</v>
      </c>
      <c r="E133">
        <v>0</v>
      </c>
      <c r="F133">
        <v>0</v>
      </c>
      <c r="G133">
        <v>0</v>
      </c>
    </row>
    <row r="134" spans="1:7">
      <c r="A134">
        <v>527300.13</v>
      </c>
      <c r="B134">
        <v>70276.28</v>
      </c>
      <c r="C134">
        <v>3043</v>
      </c>
      <c r="D134">
        <v>7.9000000000000001E-2</v>
      </c>
      <c r="E134">
        <v>1</v>
      </c>
      <c r="F134">
        <v>0</v>
      </c>
      <c r="G134">
        <v>0</v>
      </c>
    </row>
    <row r="135" spans="1:7">
      <c r="A135">
        <v>400831.65</v>
      </c>
      <c r="B135">
        <v>22071.64</v>
      </c>
      <c r="C135">
        <v>1814</v>
      </c>
      <c r="D135">
        <v>0.19600000000000001</v>
      </c>
      <c r="E135">
        <v>1</v>
      </c>
      <c r="F135">
        <v>0</v>
      </c>
      <c r="G135">
        <v>0</v>
      </c>
    </row>
    <row r="136" spans="1:7">
      <c r="A136">
        <v>593247.25</v>
      </c>
      <c r="B136">
        <v>52285.45</v>
      </c>
      <c r="C136">
        <v>3618</v>
      </c>
      <c r="D136">
        <v>8.5999999999999993E-2</v>
      </c>
      <c r="E136">
        <v>1</v>
      </c>
      <c r="F136">
        <v>0</v>
      </c>
      <c r="G136">
        <v>0</v>
      </c>
    </row>
    <row r="137" spans="1:7">
      <c r="A137">
        <v>529075.94999999995</v>
      </c>
      <c r="B137">
        <v>70366.759999999995</v>
      </c>
      <c r="C137">
        <v>1963</v>
      </c>
      <c r="D137">
        <v>0.182</v>
      </c>
      <c r="E137">
        <v>1</v>
      </c>
      <c r="F137">
        <v>0</v>
      </c>
      <c r="G137">
        <v>0</v>
      </c>
    </row>
    <row r="138" spans="1:7">
      <c r="A138">
        <v>633638.03</v>
      </c>
      <c r="B138">
        <v>71320.66</v>
      </c>
      <c r="C138">
        <v>7888</v>
      </c>
      <c r="D138">
        <v>4.8000000000000001E-2</v>
      </c>
      <c r="E138">
        <v>0</v>
      </c>
      <c r="F138">
        <v>1</v>
      </c>
      <c r="G138">
        <v>0</v>
      </c>
    </row>
    <row r="139" spans="1:7">
      <c r="A139">
        <v>743348.84</v>
      </c>
      <c r="B139">
        <v>75109.67</v>
      </c>
      <c r="C139">
        <v>6244</v>
      </c>
      <c r="D139">
        <v>7.9000000000000001E-2</v>
      </c>
      <c r="E139">
        <v>0</v>
      </c>
      <c r="F139">
        <v>1</v>
      </c>
      <c r="G139">
        <v>0</v>
      </c>
    </row>
    <row r="140" spans="1:7">
      <c r="A140">
        <v>758827.64</v>
      </c>
      <c r="B140">
        <v>69779</v>
      </c>
      <c r="C140">
        <v>6544</v>
      </c>
      <c r="D140">
        <v>0.152</v>
      </c>
      <c r="E140">
        <v>0</v>
      </c>
      <c r="F140">
        <v>1</v>
      </c>
      <c r="G140">
        <v>0</v>
      </c>
    </row>
    <row r="141" spans="1:7">
      <c r="A141">
        <v>646559.71</v>
      </c>
      <c r="B141">
        <v>44211.95</v>
      </c>
      <c r="C141">
        <v>5465</v>
      </c>
      <c r="D141">
        <v>0.187</v>
      </c>
      <c r="E141">
        <v>0</v>
      </c>
      <c r="F141">
        <v>1</v>
      </c>
      <c r="G141">
        <v>0</v>
      </c>
    </row>
    <row r="142" spans="1:7">
      <c r="A142">
        <v>715890.53</v>
      </c>
      <c r="B142">
        <v>51430.31</v>
      </c>
      <c r="C142">
        <v>6427</v>
      </c>
      <c r="D142">
        <v>0.23400000000000001</v>
      </c>
      <c r="E142">
        <v>0</v>
      </c>
      <c r="F142">
        <v>0</v>
      </c>
      <c r="G142">
        <v>1</v>
      </c>
    </row>
    <row r="143" spans="1:7">
      <c r="A143">
        <v>715097.57</v>
      </c>
      <c r="B143">
        <v>45706.49</v>
      </c>
      <c r="C143">
        <v>6704</v>
      </c>
      <c r="D143">
        <v>3.7999999999999999E-2</v>
      </c>
      <c r="E143">
        <v>0</v>
      </c>
      <c r="F143">
        <v>0</v>
      </c>
      <c r="G143">
        <v>1</v>
      </c>
    </row>
    <row r="144" spans="1:7">
      <c r="A144">
        <v>682639.28</v>
      </c>
      <c r="B144">
        <v>44034.6</v>
      </c>
      <c r="C144">
        <v>5645</v>
      </c>
      <c r="D144">
        <v>6.9000000000000006E-2</v>
      </c>
      <c r="E144">
        <v>0</v>
      </c>
      <c r="F144">
        <v>0</v>
      </c>
      <c r="G144">
        <v>1</v>
      </c>
    </row>
    <row r="145" spans="1:7">
      <c r="A145">
        <v>695098.51</v>
      </c>
      <c r="B145">
        <v>50198.12</v>
      </c>
      <c r="C145">
        <v>6089</v>
      </c>
      <c r="D145">
        <v>0.182</v>
      </c>
      <c r="E145">
        <v>0</v>
      </c>
      <c r="F145">
        <v>0</v>
      </c>
      <c r="G145">
        <v>1</v>
      </c>
    </row>
    <row r="146" spans="1:7">
      <c r="A146">
        <v>577732.56999999995</v>
      </c>
      <c r="B146">
        <v>70488.2</v>
      </c>
      <c r="C146">
        <v>4312</v>
      </c>
      <c r="D146">
        <v>0.16900000000000001</v>
      </c>
      <c r="E146">
        <v>1</v>
      </c>
      <c r="F146">
        <v>0</v>
      </c>
      <c r="G146">
        <v>0</v>
      </c>
    </row>
    <row r="147" spans="1:7">
      <c r="A147">
        <v>537058.32999999996</v>
      </c>
      <c r="B147">
        <v>50909.27</v>
      </c>
      <c r="C147">
        <v>3152</v>
      </c>
      <c r="D147">
        <v>0.06</v>
      </c>
      <c r="E147">
        <v>1</v>
      </c>
      <c r="F147">
        <v>0</v>
      </c>
      <c r="G147">
        <v>0</v>
      </c>
    </row>
    <row r="148" spans="1:7">
      <c r="A148">
        <v>601568.87</v>
      </c>
      <c r="B148">
        <v>53351.7</v>
      </c>
      <c r="C148">
        <v>4259</v>
      </c>
      <c r="D148">
        <v>0.156</v>
      </c>
      <c r="E148">
        <v>1</v>
      </c>
      <c r="F148">
        <v>0</v>
      </c>
      <c r="G148">
        <v>0</v>
      </c>
    </row>
    <row r="149" spans="1:7">
      <c r="A149">
        <v>570964.84</v>
      </c>
      <c r="B149">
        <v>60322.400000000001</v>
      </c>
      <c r="C149">
        <v>3350</v>
      </c>
      <c r="D149">
        <v>0.108</v>
      </c>
      <c r="E149">
        <v>1</v>
      </c>
      <c r="F149">
        <v>0</v>
      </c>
      <c r="G149">
        <v>0</v>
      </c>
    </row>
    <row r="150" spans="1:7">
      <c r="A150">
        <v>614024.91</v>
      </c>
      <c r="B150">
        <v>51575.68</v>
      </c>
      <c r="C150">
        <v>5329</v>
      </c>
      <c r="D150">
        <v>4.7E-2</v>
      </c>
      <c r="E150">
        <v>0</v>
      </c>
      <c r="F150">
        <v>1</v>
      </c>
      <c r="G150">
        <v>0</v>
      </c>
    </row>
    <row r="151" spans="1:7">
      <c r="A151">
        <v>712868.35</v>
      </c>
      <c r="B151">
        <v>43319.94</v>
      </c>
      <c r="C151">
        <v>6551</v>
      </c>
      <c r="D151">
        <v>4.3999999999999997E-2</v>
      </c>
      <c r="E151">
        <v>0</v>
      </c>
      <c r="F151">
        <v>1</v>
      </c>
      <c r="G151">
        <v>0</v>
      </c>
    </row>
    <row r="152" spans="1:7">
      <c r="A152">
        <v>696744.15</v>
      </c>
      <c r="B152">
        <v>47093.55</v>
      </c>
      <c r="C152">
        <v>5550</v>
      </c>
      <c r="D152">
        <v>0.1</v>
      </c>
      <c r="E152">
        <v>0</v>
      </c>
      <c r="F152">
        <v>1</v>
      </c>
      <c r="G152">
        <v>0</v>
      </c>
    </row>
    <row r="153" spans="1:7">
      <c r="A153">
        <v>725847.99</v>
      </c>
      <c r="B153">
        <v>71855.09</v>
      </c>
      <c r="C153">
        <v>5911</v>
      </c>
      <c r="D153">
        <v>0.19700000000000001</v>
      </c>
      <c r="E153">
        <v>0</v>
      </c>
      <c r="F153">
        <v>1</v>
      </c>
      <c r="G153">
        <v>0</v>
      </c>
    </row>
    <row r="154" spans="1:7">
      <c r="A154">
        <v>785028.25</v>
      </c>
      <c r="B154">
        <v>75645.23</v>
      </c>
      <c r="C154">
        <v>9674</v>
      </c>
      <c r="D154">
        <v>0.23400000000000001</v>
      </c>
      <c r="E154">
        <v>0</v>
      </c>
      <c r="F154">
        <v>0</v>
      </c>
      <c r="G154">
        <v>0</v>
      </c>
    </row>
    <row r="155" spans="1:7">
      <c r="A155">
        <v>698492.67</v>
      </c>
      <c r="B155">
        <v>64374.75</v>
      </c>
      <c r="C155">
        <v>6740</v>
      </c>
      <c r="D155">
        <v>0.16900000000000001</v>
      </c>
      <c r="E155">
        <v>0</v>
      </c>
      <c r="F155">
        <v>0</v>
      </c>
      <c r="G155">
        <v>0</v>
      </c>
    </row>
    <row r="156" spans="1:7">
      <c r="A156">
        <v>685830.24</v>
      </c>
      <c r="B156">
        <v>61433.84</v>
      </c>
      <c r="C156">
        <v>7745</v>
      </c>
      <c r="D156">
        <v>0.18</v>
      </c>
      <c r="E156">
        <v>0</v>
      </c>
      <c r="F156">
        <v>0</v>
      </c>
      <c r="G156">
        <v>0</v>
      </c>
    </row>
    <row r="157" spans="1:7">
      <c r="A157">
        <v>702318.94</v>
      </c>
      <c r="B157">
        <v>42698.14</v>
      </c>
      <c r="C157">
        <v>7693</v>
      </c>
      <c r="D157">
        <v>0.187</v>
      </c>
      <c r="E157">
        <v>0</v>
      </c>
      <c r="F157">
        <v>0</v>
      </c>
      <c r="G157">
        <v>0</v>
      </c>
    </row>
    <row r="158" spans="1:7">
      <c r="A158">
        <v>700078.32</v>
      </c>
      <c r="B158">
        <v>86883.31</v>
      </c>
      <c r="C158">
        <v>6424</v>
      </c>
      <c r="D158">
        <v>5.7000000000000002E-2</v>
      </c>
      <c r="E158">
        <v>1</v>
      </c>
      <c r="F158">
        <v>0</v>
      </c>
      <c r="G158">
        <v>0</v>
      </c>
    </row>
    <row r="159" spans="1:7">
      <c r="A159">
        <v>602002.31999999995</v>
      </c>
      <c r="B159">
        <v>41863.08</v>
      </c>
      <c r="C159">
        <v>5400</v>
      </c>
      <c r="D159">
        <v>0.114</v>
      </c>
      <c r="E159">
        <v>1</v>
      </c>
      <c r="F159">
        <v>0</v>
      </c>
      <c r="G159">
        <v>0</v>
      </c>
    </row>
    <row r="160" spans="1:7">
      <c r="A160">
        <v>724216.07</v>
      </c>
      <c r="B160">
        <v>56918.16</v>
      </c>
      <c r="C160">
        <v>7015</v>
      </c>
      <c r="D160">
        <v>0.158</v>
      </c>
      <c r="E160">
        <v>1</v>
      </c>
      <c r="F160">
        <v>0</v>
      </c>
      <c r="G160">
        <v>0</v>
      </c>
    </row>
    <row r="161" spans="1:7">
      <c r="A161">
        <v>620973.03</v>
      </c>
      <c r="B161">
        <v>23254.57</v>
      </c>
      <c r="C161">
        <v>3847</v>
      </c>
      <c r="D161">
        <v>0.159</v>
      </c>
      <c r="E161">
        <v>1</v>
      </c>
      <c r="F161">
        <v>0</v>
      </c>
      <c r="G161">
        <v>0</v>
      </c>
    </row>
    <row r="162" spans="1:7">
      <c r="A162">
        <v>650480.06000000006</v>
      </c>
      <c r="B162">
        <v>41443.410000000003</v>
      </c>
      <c r="C162">
        <v>7455</v>
      </c>
      <c r="D162">
        <v>0.17499999999999999</v>
      </c>
      <c r="E162">
        <v>0</v>
      </c>
      <c r="F162">
        <v>1</v>
      </c>
      <c r="G162">
        <v>0</v>
      </c>
    </row>
    <row r="163" spans="1:7">
      <c r="A163">
        <v>778298.88</v>
      </c>
      <c r="B163">
        <v>48438.85</v>
      </c>
      <c r="C163">
        <v>6992</v>
      </c>
      <c r="D163">
        <v>3.4000000000000002E-2</v>
      </c>
      <c r="E163">
        <v>0</v>
      </c>
      <c r="F163">
        <v>1</v>
      </c>
      <c r="G163">
        <v>0</v>
      </c>
    </row>
    <row r="164" spans="1:7">
      <c r="A164">
        <v>677096.71</v>
      </c>
      <c r="B164">
        <v>57143.3</v>
      </c>
      <c r="C164">
        <v>8038</v>
      </c>
      <c r="D164">
        <v>0.193</v>
      </c>
      <c r="E164">
        <v>0</v>
      </c>
      <c r="F164">
        <v>1</v>
      </c>
      <c r="G164">
        <v>0</v>
      </c>
    </row>
    <row r="165" spans="1:7">
      <c r="A165">
        <v>692008.64</v>
      </c>
      <c r="B165">
        <v>66870.62</v>
      </c>
      <c r="C165">
        <v>6055</v>
      </c>
      <c r="D165">
        <v>7.4999999999999997E-2</v>
      </c>
      <c r="E165">
        <v>0</v>
      </c>
      <c r="F165">
        <v>1</v>
      </c>
      <c r="G165">
        <v>0</v>
      </c>
    </row>
    <row r="166" spans="1:7">
      <c r="A166">
        <v>825797.91</v>
      </c>
      <c r="B166">
        <v>72150.53</v>
      </c>
      <c r="C166">
        <v>9323</v>
      </c>
      <c r="D166">
        <v>0.157</v>
      </c>
      <c r="E166">
        <v>1</v>
      </c>
      <c r="F166">
        <v>0</v>
      </c>
      <c r="G166">
        <v>0</v>
      </c>
    </row>
    <row r="167" spans="1:7">
      <c r="A167">
        <v>706285.52</v>
      </c>
      <c r="B167">
        <v>35303.300000000003</v>
      </c>
      <c r="C167">
        <v>8789</v>
      </c>
      <c r="D167">
        <v>0.123</v>
      </c>
      <c r="E167">
        <v>1</v>
      </c>
      <c r="F167">
        <v>0</v>
      </c>
      <c r="G167">
        <v>0</v>
      </c>
    </row>
    <row r="168" spans="1:7">
      <c r="A168">
        <v>665534.69999999995</v>
      </c>
      <c r="B168">
        <v>30301.86</v>
      </c>
      <c r="C168">
        <v>6939</v>
      </c>
      <c r="D168">
        <v>0.09</v>
      </c>
      <c r="E168">
        <v>1</v>
      </c>
      <c r="F168">
        <v>0</v>
      </c>
      <c r="G168">
        <v>0</v>
      </c>
    </row>
    <row r="169" spans="1:7">
      <c r="A169">
        <v>820729.29</v>
      </c>
      <c r="B169">
        <v>78432.14</v>
      </c>
      <c r="C169">
        <v>9440</v>
      </c>
      <c r="D169">
        <v>0.126</v>
      </c>
      <c r="E169">
        <v>1</v>
      </c>
      <c r="F169">
        <v>0</v>
      </c>
      <c r="G169">
        <v>0</v>
      </c>
    </row>
    <row r="170" spans="1:7">
      <c r="A170">
        <v>739831.73</v>
      </c>
      <c r="B170">
        <v>62059.18</v>
      </c>
      <c r="C170">
        <v>9374</v>
      </c>
      <c r="D170">
        <v>0.13600000000000001</v>
      </c>
      <c r="E170">
        <v>0</v>
      </c>
      <c r="F170">
        <v>0</v>
      </c>
      <c r="G170">
        <v>0</v>
      </c>
    </row>
    <row r="171" spans="1:7">
      <c r="A171">
        <v>593637.14</v>
      </c>
      <c r="B171">
        <v>32834.480000000003</v>
      </c>
      <c r="C171">
        <v>7576</v>
      </c>
      <c r="D171">
        <v>9.9000000000000005E-2</v>
      </c>
      <c r="E171">
        <v>0</v>
      </c>
      <c r="F171">
        <v>0</v>
      </c>
      <c r="G171">
        <v>0</v>
      </c>
    </row>
    <row r="172" spans="1:7">
      <c r="A172">
        <v>769702.76</v>
      </c>
      <c r="B172">
        <v>50825.08</v>
      </c>
      <c r="C172">
        <v>8949</v>
      </c>
      <c r="D172">
        <v>0.157</v>
      </c>
      <c r="E172">
        <v>0</v>
      </c>
      <c r="F172">
        <v>0</v>
      </c>
      <c r="G172">
        <v>0</v>
      </c>
    </row>
    <row r="173" spans="1:7">
      <c r="A173">
        <v>679731.57</v>
      </c>
      <c r="B173">
        <v>36606.51</v>
      </c>
      <c r="C173">
        <v>7671</v>
      </c>
      <c r="D173">
        <v>0.11799999999999999</v>
      </c>
      <c r="E173">
        <v>0</v>
      </c>
      <c r="F173">
        <v>0</v>
      </c>
      <c r="G173">
        <v>0</v>
      </c>
    </row>
    <row r="174" spans="1:7">
      <c r="A174">
        <v>780344.18</v>
      </c>
      <c r="B174">
        <v>65237.79</v>
      </c>
      <c r="C174">
        <v>8741</v>
      </c>
      <c r="D174">
        <v>0.157</v>
      </c>
      <c r="E174">
        <v>0</v>
      </c>
      <c r="F174">
        <v>0</v>
      </c>
      <c r="G174">
        <v>0</v>
      </c>
    </row>
    <row r="175" spans="1:7">
      <c r="A175">
        <v>721364.11</v>
      </c>
      <c r="B175">
        <v>43645.98</v>
      </c>
      <c r="C175">
        <v>9480</v>
      </c>
      <c r="D175">
        <v>0.109</v>
      </c>
      <c r="E175">
        <v>0</v>
      </c>
      <c r="F175">
        <v>0</v>
      </c>
      <c r="G175">
        <v>0</v>
      </c>
    </row>
    <row r="176" spans="1:7">
      <c r="A176">
        <v>758138.29</v>
      </c>
      <c r="B176">
        <v>68040.149999999994</v>
      </c>
      <c r="C176">
        <v>9826</v>
      </c>
      <c r="D176">
        <v>0.125</v>
      </c>
      <c r="E176">
        <v>0</v>
      </c>
      <c r="F176">
        <v>0</v>
      </c>
      <c r="G176">
        <v>0</v>
      </c>
    </row>
    <row r="177" spans="1:7">
      <c r="A177">
        <v>804264</v>
      </c>
      <c r="B177">
        <v>63043.94</v>
      </c>
      <c r="C177">
        <v>10402</v>
      </c>
      <c r="D177">
        <v>0.159</v>
      </c>
      <c r="E177">
        <v>0</v>
      </c>
      <c r="F177">
        <v>0</v>
      </c>
      <c r="G177">
        <v>0</v>
      </c>
    </row>
    <row r="178" spans="1:7">
      <c r="A178">
        <v>887537.75</v>
      </c>
      <c r="B178">
        <v>67494.09</v>
      </c>
      <c r="C178">
        <v>12361</v>
      </c>
      <c r="D178">
        <v>4.5999999999999999E-2</v>
      </c>
      <c r="E178">
        <v>0</v>
      </c>
      <c r="F178">
        <v>0</v>
      </c>
      <c r="G178">
        <v>1</v>
      </c>
    </row>
    <row r="179" spans="1:7">
      <c r="A179">
        <v>783582</v>
      </c>
      <c r="B179">
        <v>29389.32</v>
      </c>
      <c r="C179">
        <v>7925</v>
      </c>
      <c r="D179">
        <v>0.17699999999999999</v>
      </c>
      <c r="E179">
        <v>0</v>
      </c>
      <c r="F179">
        <v>0</v>
      </c>
      <c r="G179">
        <v>1</v>
      </c>
    </row>
    <row r="180" spans="1:7">
      <c r="A180">
        <v>781955.52</v>
      </c>
      <c r="B180">
        <v>40535.089999999997</v>
      </c>
      <c r="C180">
        <v>8870</v>
      </c>
      <c r="D180">
        <v>4.1000000000000002E-2</v>
      </c>
      <c r="E180">
        <v>0</v>
      </c>
      <c r="F180">
        <v>0</v>
      </c>
      <c r="G180">
        <v>1</v>
      </c>
    </row>
    <row r="181" spans="1:7">
      <c r="A181">
        <v>898031.04</v>
      </c>
      <c r="B181">
        <v>74881.56</v>
      </c>
      <c r="C181">
        <v>9999</v>
      </c>
      <c r="D181">
        <v>1.2999999999999999E-2</v>
      </c>
      <c r="E181">
        <v>0</v>
      </c>
      <c r="F181">
        <v>0</v>
      </c>
      <c r="G181">
        <v>1</v>
      </c>
    </row>
    <row r="182" spans="1:7">
      <c r="A182">
        <v>855341.28</v>
      </c>
      <c r="B182">
        <v>68491.11</v>
      </c>
      <c r="C182">
        <v>11154</v>
      </c>
      <c r="D182">
        <v>1E-3</v>
      </c>
      <c r="E182">
        <v>0</v>
      </c>
      <c r="F182">
        <v>0</v>
      </c>
      <c r="G182">
        <v>1</v>
      </c>
    </row>
    <row r="183" spans="1:7">
      <c r="A183">
        <v>751393.88</v>
      </c>
      <c r="B183">
        <v>45209.25</v>
      </c>
      <c r="C183">
        <v>9287</v>
      </c>
      <c r="D183">
        <v>0.14099999999999999</v>
      </c>
      <c r="E183">
        <v>0</v>
      </c>
      <c r="F183">
        <v>0</v>
      </c>
      <c r="G183">
        <v>1</v>
      </c>
    </row>
    <row r="184" spans="1:7">
      <c r="A184">
        <v>761077.08</v>
      </c>
      <c r="B184">
        <v>63010.23</v>
      </c>
      <c r="C184">
        <v>9812</v>
      </c>
      <c r="D184">
        <v>0.113</v>
      </c>
      <c r="E184">
        <v>0</v>
      </c>
      <c r="F184">
        <v>0</v>
      </c>
      <c r="G184">
        <v>1</v>
      </c>
    </row>
    <row r="185" spans="1:7">
      <c r="A185">
        <v>819660.59</v>
      </c>
      <c r="B185">
        <v>57948.88</v>
      </c>
      <c r="C185">
        <v>10741</v>
      </c>
      <c r="D185">
        <v>7.0000000000000007E-2</v>
      </c>
      <c r="E185">
        <v>0</v>
      </c>
      <c r="F185">
        <v>0</v>
      </c>
      <c r="G185">
        <v>1</v>
      </c>
    </row>
    <row r="186" spans="1:7">
      <c r="A186">
        <v>681855.56</v>
      </c>
      <c r="B186">
        <v>71941.62</v>
      </c>
      <c r="C186">
        <v>6084</v>
      </c>
      <c r="D186">
        <v>7.1999999999999995E-2</v>
      </c>
      <c r="E186">
        <v>1</v>
      </c>
      <c r="F186">
        <v>0</v>
      </c>
      <c r="G186">
        <v>0</v>
      </c>
    </row>
    <row r="187" spans="1:7">
      <c r="A187">
        <v>678311.17</v>
      </c>
      <c r="B187">
        <v>57147.88</v>
      </c>
      <c r="C187">
        <v>5252</v>
      </c>
      <c r="D187">
        <v>0.161</v>
      </c>
      <c r="E187">
        <v>1</v>
      </c>
      <c r="F187">
        <v>0</v>
      </c>
      <c r="G187">
        <v>0</v>
      </c>
    </row>
    <row r="188" spans="1:7">
      <c r="A188">
        <v>765906.95</v>
      </c>
      <c r="B188">
        <v>48031.74</v>
      </c>
      <c r="C188">
        <v>6516</v>
      </c>
      <c r="D188">
        <v>6.7000000000000004E-2</v>
      </c>
      <c r="E188">
        <v>1</v>
      </c>
      <c r="F188">
        <v>0</v>
      </c>
      <c r="G188">
        <v>0</v>
      </c>
    </row>
    <row r="189" spans="1:7">
      <c r="A189">
        <v>712546.38</v>
      </c>
      <c r="B189">
        <v>72784.800000000003</v>
      </c>
      <c r="C189">
        <v>7932</v>
      </c>
      <c r="D189">
        <v>9.4E-2</v>
      </c>
      <c r="E189">
        <v>1</v>
      </c>
      <c r="F189">
        <v>0</v>
      </c>
      <c r="G189">
        <v>0</v>
      </c>
    </row>
    <row r="190" spans="1:7">
      <c r="A190">
        <v>625993.82999999996</v>
      </c>
      <c r="B190">
        <v>71641.899999999994</v>
      </c>
      <c r="C190">
        <v>3506</v>
      </c>
      <c r="D190">
        <v>0</v>
      </c>
      <c r="E190">
        <v>0</v>
      </c>
      <c r="F190">
        <v>0</v>
      </c>
      <c r="G190">
        <v>0</v>
      </c>
    </row>
    <row r="191" spans="1:7">
      <c r="A191">
        <v>550962.93000000005</v>
      </c>
      <c r="B191">
        <v>55788.61</v>
      </c>
      <c r="C191">
        <v>2312</v>
      </c>
      <c r="D191">
        <v>5.8000000000000003E-2</v>
      </c>
      <c r="E191">
        <v>0</v>
      </c>
      <c r="F191">
        <v>0</v>
      </c>
      <c r="G191">
        <v>0</v>
      </c>
    </row>
    <row r="192" spans="1:7">
      <c r="A192">
        <v>443275.59</v>
      </c>
      <c r="B192">
        <v>37705.879999999997</v>
      </c>
      <c r="C192">
        <v>1268</v>
      </c>
      <c r="D192">
        <v>0.25900000000000001</v>
      </c>
      <c r="E192">
        <v>0</v>
      </c>
      <c r="F192">
        <v>0</v>
      </c>
      <c r="G192">
        <v>0</v>
      </c>
    </row>
    <row r="193" spans="1:7">
      <c r="A193">
        <v>554012.06999999995</v>
      </c>
      <c r="B193">
        <v>54966.18</v>
      </c>
      <c r="C193">
        <v>4423</v>
      </c>
      <c r="D193">
        <v>0.186</v>
      </c>
      <c r="E193">
        <v>0</v>
      </c>
      <c r="F193">
        <v>0</v>
      </c>
      <c r="G193">
        <v>0</v>
      </c>
    </row>
    <row r="194" spans="1:7">
      <c r="A194">
        <v>643428.85</v>
      </c>
      <c r="B194">
        <v>81796.740000000005</v>
      </c>
      <c r="C194">
        <v>6177</v>
      </c>
      <c r="D194">
        <v>0.16400000000000001</v>
      </c>
      <c r="E194">
        <v>0</v>
      </c>
      <c r="F194">
        <v>0</v>
      </c>
      <c r="G194">
        <v>1</v>
      </c>
    </row>
    <row r="195" spans="1:7">
      <c r="A195">
        <v>611924.27</v>
      </c>
      <c r="B195">
        <v>51133.43</v>
      </c>
      <c r="C195">
        <v>5150</v>
      </c>
      <c r="D195">
        <v>0.15</v>
      </c>
      <c r="E195">
        <v>0</v>
      </c>
      <c r="F195">
        <v>0</v>
      </c>
      <c r="G195">
        <v>1</v>
      </c>
    </row>
    <row r="196" spans="1:7">
      <c r="A196">
        <v>559422.02</v>
      </c>
      <c r="B196">
        <v>40220.18</v>
      </c>
      <c r="C196">
        <v>3783</v>
      </c>
      <c r="D196">
        <v>8.8999999999999996E-2</v>
      </c>
      <c r="E196">
        <v>0</v>
      </c>
      <c r="F196">
        <v>0</v>
      </c>
      <c r="G196">
        <v>1</v>
      </c>
    </row>
    <row r="197" spans="1:7">
      <c r="A197">
        <v>449465.06</v>
      </c>
      <c r="B197">
        <v>41657.64</v>
      </c>
      <c r="C197">
        <v>3135</v>
      </c>
      <c r="D197">
        <v>0.22900000000000001</v>
      </c>
      <c r="E197">
        <v>0</v>
      </c>
      <c r="F197">
        <v>0</v>
      </c>
      <c r="G197">
        <v>1</v>
      </c>
    </row>
    <row r="198" spans="1:7">
      <c r="A198">
        <v>691447.43</v>
      </c>
      <c r="B198">
        <v>71851.45</v>
      </c>
      <c r="C198">
        <v>4970</v>
      </c>
      <c r="D198">
        <v>9.8000000000000004E-2</v>
      </c>
      <c r="E198">
        <v>1</v>
      </c>
      <c r="F198">
        <v>0</v>
      </c>
      <c r="G198">
        <v>0</v>
      </c>
    </row>
    <row r="199" spans="1:7">
      <c r="A199">
        <v>574066.61</v>
      </c>
      <c r="B199">
        <v>54002.83</v>
      </c>
      <c r="C199">
        <v>4366</v>
      </c>
      <c r="D199">
        <v>2.7E-2</v>
      </c>
      <c r="E199">
        <v>1</v>
      </c>
      <c r="F199">
        <v>0</v>
      </c>
      <c r="G199">
        <v>0</v>
      </c>
    </row>
    <row r="200" spans="1:7">
      <c r="A200">
        <v>578949.84</v>
      </c>
      <c r="B200">
        <v>54479.33</v>
      </c>
      <c r="C200">
        <v>5012</v>
      </c>
      <c r="D200">
        <v>0.28399999999999997</v>
      </c>
      <c r="E200">
        <v>1</v>
      </c>
      <c r="F200">
        <v>0</v>
      </c>
      <c r="G200">
        <v>0</v>
      </c>
    </row>
    <row r="201" spans="1:7">
      <c r="A201">
        <v>735786.64</v>
      </c>
      <c r="B201">
        <v>61391.8</v>
      </c>
      <c r="C201">
        <v>5575</v>
      </c>
      <c r="D201">
        <v>0.189</v>
      </c>
      <c r="E201">
        <v>1</v>
      </c>
      <c r="F201">
        <v>0</v>
      </c>
      <c r="G201">
        <v>0</v>
      </c>
    </row>
    <row r="202" spans="1:7">
      <c r="A202">
        <v>598904.9</v>
      </c>
      <c r="B202">
        <v>22312.93</v>
      </c>
      <c r="C202">
        <v>5955</v>
      </c>
      <c r="D202">
        <v>0.123</v>
      </c>
      <c r="E202">
        <v>0</v>
      </c>
      <c r="F202">
        <v>0</v>
      </c>
      <c r="G202">
        <v>0</v>
      </c>
    </row>
    <row r="203" spans="1:7">
      <c r="A203">
        <v>787715.51</v>
      </c>
      <c r="B203">
        <v>78111.97</v>
      </c>
      <c r="C203">
        <v>6389</v>
      </c>
      <c r="D203">
        <v>0.15</v>
      </c>
      <c r="E203">
        <v>0</v>
      </c>
      <c r="F203">
        <v>0</v>
      </c>
      <c r="G203">
        <v>0</v>
      </c>
    </row>
    <row r="204" spans="1:7">
      <c r="A204">
        <v>607084.92000000004</v>
      </c>
      <c r="B204">
        <v>35203.230000000003</v>
      </c>
      <c r="C204">
        <v>6896</v>
      </c>
      <c r="D204">
        <v>3.2000000000000001E-2</v>
      </c>
      <c r="E204">
        <v>0</v>
      </c>
      <c r="F204">
        <v>0</v>
      </c>
      <c r="G204">
        <v>0</v>
      </c>
    </row>
    <row r="205" spans="1:7">
      <c r="A205">
        <v>650795.49</v>
      </c>
      <c r="B205">
        <v>64104.28</v>
      </c>
      <c r="C205">
        <v>6015</v>
      </c>
      <c r="D205">
        <v>0.127</v>
      </c>
      <c r="E205">
        <v>0</v>
      </c>
      <c r="F205">
        <v>0</v>
      </c>
      <c r="G205">
        <v>0</v>
      </c>
    </row>
    <row r="206" spans="1:7">
      <c r="A206">
        <v>825060.52</v>
      </c>
      <c r="B206">
        <v>92090.14</v>
      </c>
      <c r="C206">
        <v>9476</v>
      </c>
      <c r="D206">
        <v>7.0000000000000007E-2</v>
      </c>
      <c r="E206">
        <v>0</v>
      </c>
      <c r="F206">
        <v>0</v>
      </c>
      <c r="G206">
        <v>0</v>
      </c>
    </row>
    <row r="207" spans="1:7">
      <c r="A207">
        <v>795464.47</v>
      </c>
      <c r="B207">
        <v>54300.87</v>
      </c>
      <c r="C207">
        <v>7875</v>
      </c>
      <c r="D207">
        <v>0.107</v>
      </c>
      <c r="E207">
        <v>0</v>
      </c>
      <c r="F207">
        <v>0</v>
      </c>
      <c r="G207">
        <v>0</v>
      </c>
    </row>
    <row r="208" spans="1:7">
      <c r="A208">
        <v>671868.59</v>
      </c>
      <c r="B208">
        <v>37983.35</v>
      </c>
      <c r="C208">
        <v>9283</v>
      </c>
      <c r="D208">
        <v>0.14899999999999999</v>
      </c>
      <c r="E208">
        <v>0</v>
      </c>
      <c r="F208">
        <v>0</v>
      </c>
      <c r="G208">
        <v>0</v>
      </c>
    </row>
    <row r="209" spans="1:7">
      <c r="A209">
        <v>675917.63</v>
      </c>
      <c r="B209">
        <v>56413.83</v>
      </c>
      <c r="C209">
        <v>8303</v>
      </c>
      <c r="D209">
        <v>0.11600000000000001</v>
      </c>
      <c r="E209">
        <v>0</v>
      </c>
      <c r="F209">
        <v>0</v>
      </c>
      <c r="G209">
        <v>0</v>
      </c>
    </row>
    <row r="210" spans="1:7">
      <c r="A210">
        <v>810446.53</v>
      </c>
      <c r="B210">
        <v>63457.19</v>
      </c>
      <c r="C210">
        <v>10125</v>
      </c>
      <c r="D210">
        <v>9.7000000000000003E-2</v>
      </c>
      <c r="E210">
        <v>0</v>
      </c>
      <c r="F210">
        <v>0</v>
      </c>
      <c r="G210">
        <v>0</v>
      </c>
    </row>
    <row r="211" spans="1:7">
      <c r="A211">
        <v>691288.19</v>
      </c>
      <c r="B211">
        <v>62949.7</v>
      </c>
      <c r="C211">
        <v>9458</v>
      </c>
      <c r="D211">
        <v>0.17100000000000001</v>
      </c>
      <c r="E211">
        <v>0</v>
      </c>
      <c r="F211">
        <v>0</v>
      </c>
      <c r="G211">
        <v>0</v>
      </c>
    </row>
    <row r="212" spans="1:7">
      <c r="A212">
        <v>946833.54</v>
      </c>
      <c r="B212">
        <v>107970.19</v>
      </c>
      <c r="C212">
        <v>12870</v>
      </c>
      <c r="D212">
        <v>2.9000000000000001E-2</v>
      </c>
      <c r="E212">
        <v>0</v>
      </c>
      <c r="F212">
        <v>0</v>
      </c>
      <c r="G212">
        <v>0</v>
      </c>
    </row>
    <row r="213" spans="1:7">
      <c r="A213">
        <v>761963.23</v>
      </c>
      <c r="B213">
        <v>49405.75</v>
      </c>
      <c r="C213">
        <v>9752</v>
      </c>
      <c r="D213">
        <v>9.2999999999999999E-2</v>
      </c>
      <c r="E213">
        <v>0</v>
      </c>
      <c r="F213">
        <v>0</v>
      </c>
      <c r="G213">
        <v>0</v>
      </c>
    </row>
    <row r="214" spans="1:7">
      <c r="A214">
        <v>812152.6</v>
      </c>
      <c r="B214">
        <v>50887.46</v>
      </c>
      <c r="C214">
        <v>9505</v>
      </c>
      <c r="D214">
        <v>9.0999999999999998E-2</v>
      </c>
      <c r="E214">
        <v>0</v>
      </c>
      <c r="F214">
        <v>0</v>
      </c>
      <c r="G214">
        <v>1</v>
      </c>
    </row>
    <row r="215" spans="1:7">
      <c r="A215">
        <v>804975.5</v>
      </c>
      <c r="B215">
        <v>41819.449999999997</v>
      </c>
      <c r="C215">
        <v>9412</v>
      </c>
      <c r="D215">
        <v>0.15</v>
      </c>
      <c r="E215">
        <v>0</v>
      </c>
      <c r="F215">
        <v>0</v>
      </c>
      <c r="G215">
        <v>1</v>
      </c>
    </row>
    <row r="216" spans="1:7">
      <c r="A216">
        <v>752321.72</v>
      </c>
      <c r="B216">
        <v>35296.54</v>
      </c>
      <c r="C216">
        <v>9644</v>
      </c>
      <c r="D216">
        <v>0</v>
      </c>
      <c r="E216">
        <v>0</v>
      </c>
      <c r="F216">
        <v>0</v>
      </c>
      <c r="G216">
        <v>1</v>
      </c>
    </row>
    <row r="217" spans="1:7">
      <c r="A217">
        <v>836908.24</v>
      </c>
      <c r="B217">
        <v>47391.09</v>
      </c>
      <c r="C217">
        <v>11224</v>
      </c>
      <c r="D217">
        <v>0.14699999999999999</v>
      </c>
      <c r="E217">
        <v>0</v>
      </c>
      <c r="F217">
        <v>0</v>
      </c>
      <c r="G217">
        <v>1</v>
      </c>
    </row>
    <row r="218" spans="1:7">
      <c r="A218">
        <v>674289.1</v>
      </c>
      <c r="B218">
        <v>69180.539999999994</v>
      </c>
      <c r="C218">
        <v>5394</v>
      </c>
      <c r="D218">
        <v>0.126</v>
      </c>
      <c r="E218">
        <v>1</v>
      </c>
      <c r="F218">
        <v>0</v>
      </c>
      <c r="G218">
        <v>0</v>
      </c>
    </row>
    <row r="219" spans="1:7">
      <c r="A219">
        <v>622892.42000000004</v>
      </c>
      <c r="B219">
        <v>33987.33</v>
      </c>
      <c r="C219">
        <v>5014</v>
      </c>
      <c r="D219">
        <v>0.246</v>
      </c>
      <c r="E219">
        <v>1</v>
      </c>
      <c r="F219">
        <v>0</v>
      </c>
      <c r="G219">
        <v>0</v>
      </c>
    </row>
    <row r="220" spans="1:7">
      <c r="A220">
        <v>673348.56</v>
      </c>
      <c r="B220">
        <v>58785.33</v>
      </c>
      <c r="C220">
        <v>4467</v>
      </c>
      <c r="D220">
        <v>0.22900000000000001</v>
      </c>
      <c r="E220">
        <v>1</v>
      </c>
      <c r="F220">
        <v>0</v>
      </c>
      <c r="G220">
        <v>0</v>
      </c>
    </row>
    <row r="221" spans="1:7">
      <c r="A221">
        <v>606278.30000000005</v>
      </c>
      <c r="B221">
        <v>16451.849999999999</v>
      </c>
      <c r="C221">
        <v>4678</v>
      </c>
      <c r="D221">
        <v>0.13300000000000001</v>
      </c>
      <c r="E221">
        <v>1</v>
      </c>
      <c r="F221">
        <v>0</v>
      </c>
      <c r="G221">
        <v>0</v>
      </c>
    </row>
    <row r="222" spans="1:7">
      <c r="A222">
        <v>712219.81</v>
      </c>
      <c r="B222">
        <v>53367.73</v>
      </c>
      <c r="C222">
        <v>7291</v>
      </c>
      <c r="D222">
        <v>0.14599999999999999</v>
      </c>
      <c r="E222">
        <v>0</v>
      </c>
      <c r="F222">
        <v>0</v>
      </c>
      <c r="G222">
        <v>0</v>
      </c>
    </row>
    <row r="223" spans="1:7">
      <c r="A223">
        <v>672670.54</v>
      </c>
      <c r="B223">
        <v>27194.639999999999</v>
      </c>
      <c r="C223">
        <v>7404</v>
      </c>
      <c r="D223">
        <v>8.7999999999999995E-2</v>
      </c>
      <c r="E223">
        <v>0</v>
      </c>
      <c r="F223">
        <v>0</v>
      </c>
      <c r="G223">
        <v>0</v>
      </c>
    </row>
    <row r="224" spans="1:7">
      <c r="A224">
        <v>732667.92</v>
      </c>
      <c r="B224">
        <v>66962.740000000005</v>
      </c>
      <c r="C224">
        <v>7880</v>
      </c>
      <c r="D224">
        <v>0.11600000000000001</v>
      </c>
      <c r="E224">
        <v>0</v>
      </c>
      <c r="F224">
        <v>0</v>
      </c>
      <c r="G224">
        <v>0</v>
      </c>
    </row>
    <row r="225" spans="1:7">
      <c r="A225">
        <v>723531.4</v>
      </c>
      <c r="B225">
        <v>73540.990000000005</v>
      </c>
      <c r="C225">
        <v>8773</v>
      </c>
      <c r="D225">
        <v>3.5000000000000003E-2</v>
      </c>
      <c r="E225">
        <v>0</v>
      </c>
      <c r="F225">
        <v>0</v>
      </c>
      <c r="G225">
        <v>0</v>
      </c>
    </row>
    <row r="226" spans="1:7">
      <c r="A226">
        <v>641564.6</v>
      </c>
      <c r="B226">
        <v>68212.289999999994</v>
      </c>
      <c r="C226">
        <v>4713</v>
      </c>
      <c r="D226">
        <v>0.19800000000000001</v>
      </c>
      <c r="E226">
        <v>0</v>
      </c>
      <c r="F226">
        <v>0</v>
      </c>
      <c r="G226">
        <v>0</v>
      </c>
    </row>
    <row r="227" spans="1:7">
      <c r="A227">
        <v>536545.49</v>
      </c>
      <c r="B227">
        <v>57225.98</v>
      </c>
      <c r="C227">
        <v>2842</v>
      </c>
      <c r="D227">
        <v>0.112</v>
      </c>
      <c r="E227">
        <v>0</v>
      </c>
      <c r="F227">
        <v>0</v>
      </c>
      <c r="G227">
        <v>0</v>
      </c>
    </row>
    <row r="228" spans="1:7">
      <c r="A228">
        <v>527681.56000000006</v>
      </c>
      <c r="B228">
        <v>42932.02</v>
      </c>
      <c r="C228">
        <v>3872</v>
      </c>
      <c r="D228">
        <v>0.17100000000000001</v>
      </c>
      <c r="E228">
        <v>0</v>
      </c>
      <c r="F228">
        <v>0</v>
      </c>
      <c r="G228">
        <v>0</v>
      </c>
    </row>
    <row r="229" spans="1:7">
      <c r="A229">
        <v>529598.93999999994</v>
      </c>
      <c r="B229">
        <v>39341.449999999997</v>
      </c>
      <c r="C229">
        <v>1375</v>
      </c>
      <c r="D229">
        <v>9.2999999999999999E-2</v>
      </c>
      <c r="E229">
        <v>0</v>
      </c>
      <c r="F229">
        <v>0</v>
      </c>
      <c r="G229">
        <v>0</v>
      </c>
    </row>
    <row r="230" spans="1:7">
      <c r="A230">
        <v>570963.31000000006</v>
      </c>
      <c r="B230">
        <v>37324.230000000003</v>
      </c>
      <c r="C230">
        <v>5957</v>
      </c>
      <c r="D230">
        <v>7.0999999999999994E-2</v>
      </c>
      <c r="E230">
        <v>0</v>
      </c>
      <c r="F230">
        <v>0</v>
      </c>
      <c r="G230">
        <v>0</v>
      </c>
    </row>
    <row r="231" spans="1:7">
      <c r="A231">
        <v>870937.4</v>
      </c>
      <c r="B231">
        <v>113736</v>
      </c>
      <c r="C231">
        <v>8961</v>
      </c>
      <c r="D231">
        <v>0.20200000000000001</v>
      </c>
      <c r="E231">
        <v>0</v>
      </c>
      <c r="F231">
        <v>0</v>
      </c>
      <c r="G231">
        <v>0</v>
      </c>
    </row>
    <row r="232" spans="1:7">
      <c r="A232">
        <v>596969.27</v>
      </c>
      <c r="B232">
        <v>33173.949999999997</v>
      </c>
      <c r="C232">
        <v>6545</v>
      </c>
      <c r="D232">
        <v>0.16900000000000001</v>
      </c>
      <c r="E232">
        <v>0</v>
      </c>
      <c r="F232">
        <v>0</v>
      </c>
      <c r="G232">
        <v>0</v>
      </c>
    </row>
    <row r="233" spans="1:7">
      <c r="A233">
        <v>647512.85</v>
      </c>
      <c r="B233">
        <v>25818.080000000002</v>
      </c>
      <c r="C233">
        <v>5457</v>
      </c>
      <c r="D233">
        <v>0</v>
      </c>
      <c r="E233">
        <v>0</v>
      </c>
      <c r="F233">
        <v>0</v>
      </c>
      <c r="G233">
        <v>0</v>
      </c>
    </row>
    <row r="234" spans="1:7">
      <c r="A234">
        <v>658072.14</v>
      </c>
      <c r="B234">
        <v>47241.919999999998</v>
      </c>
      <c r="C234">
        <v>4264</v>
      </c>
      <c r="D234">
        <v>6.9000000000000006E-2</v>
      </c>
      <c r="E234">
        <v>0</v>
      </c>
      <c r="F234">
        <v>0</v>
      </c>
      <c r="G234">
        <v>1</v>
      </c>
    </row>
    <row r="235" spans="1:7">
      <c r="A235">
        <v>723305.11</v>
      </c>
      <c r="B235">
        <v>61650.79</v>
      </c>
      <c r="C235">
        <v>5321</v>
      </c>
      <c r="D235">
        <v>0.126</v>
      </c>
      <c r="E235">
        <v>0</v>
      </c>
      <c r="F235">
        <v>0</v>
      </c>
      <c r="G235">
        <v>1</v>
      </c>
    </row>
    <row r="236" spans="1:7">
      <c r="A236">
        <v>640666.53</v>
      </c>
      <c r="B236">
        <v>62582.71</v>
      </c>
      <c r="C236">
        <v>5479</v>
      </c>
      <c r="D236">
        <v>4.8000000000000001E-2</v>
      </c>
      <c r="E236">
        <v>0</v>
      </c>
      <c r="F236">
        <v>0</v>
      </c>
      <c r="G236">
        <v>1</v>
      </c>
    </row>
    <row r="237" spans="1:7">
      <c r="A237">
        <v>670629.48</v>
      </c>
      <c r="B237">
        <v>47944.14</v>
      </c>
      <c r="C237">
        <v>6169</v>
      </c>
      <c r="D237">
        <v>0.11899999999999999</v>
      </c>
      <c r="E237">
        <v>0</v>
      </c>
      <c r="F237">
        <v>0</v>
      </c>
      <c r="G237">
        <v>1</v>
      </c>
    </row>
    <row r="238" spans="1:7">
      <c r="A238">
        <v>721079.35</v>
      </c>
      <c r="B238">
        <v>46495.4</v>
      </c>
      <c r="C238">
        <v>9908</v>
      </c>
      <c r="D238">
        <v>0.121</v>
      </c>
      <c r="E238">
        <v>0</v>
      </c>
      <c r="F238">
        <v>0</v>
      </c>
      <c r="G238">
        <v>1</v>
      </c>
    </row>
    <row r="239" spans="1:7">
      <c r="A239">
        <v>810355.02</v>
      </c>
      <c r="B239">
        <v>72961.95</v>
      </c>
      <c r="C239">
        <v>9996</v>
      </c>
      <c r="D239">
        <v>0.106</v>
      </c>
      <c r="E239">
        <v>0</v>
      </c>
      <c r="F239">
        <v>0</v>
      </c>
      <c r="G239">
        <v>1</v>
      </c>
    </row>
    <row r="240" spans="1:7">
      <c r="A240">
        <v>761919.25</v>
      </c>
      <c r="B240">
        <v>59060.05</v>
      </c>
      <c r="C240">
        <v>9702</v>
      </c>
      <c r="D240">
        <v>0.20100000000000001</v>
      </c>
      <c r="E240">
        <v>0</v>
      </c>
      <c r="F240">
        <v>0</v>
      </c>
      <c r="G240">
        <v>1</v>
      </c>
    </row>
    <row r="241" spans="1:7">
      <c r="A241">
        <v>737070.18</v>
      </c>
      <c r="B241">
        <v>26248.1</v>
      </c>
      <c r="C241">
        <v>9314</v>
      </c>
      <c r="D241">
        <v>0.186</v>
      </c>
      <c r="E241">
        <v>0</v>
      </c>
      <c r="F241">
        <v>0</v>
      </c>
      <c r="G241">
        <v>1</v>
      </c>
    </row>
    <row r="242" spans="1:7">
      <c r="A242">
        <v>776992.93</v>
      </c>
      <c r="B242">
        <v>69900.12</v>
      </c>
      <c r="C242">
        <v>8055</v>
      </c>
      <c r="D242">
        <v>0.28100000000000003</v>
      </c>
      <c r="E242">
        <v>0</v>
      </c>
      <c r="F242">
        <v>1</v>
      </c>
      <c r="G242">
        <v>0</v>
      </c>
    </row>
    <row r="243" spans="1:7">
      <c r="A243">
        <v>676337.41</v>
      </c>
      <c r="B243">
        <v>51781.599999999999</v>
      </c>
      <c r="C243">
        <v>5648</v>
      </c>
      <c r="D243">
        <v>5.8999999999999997E-2</v>
      </c>
      <c r="E243">
        <v>0</v>
      </c>
      <c r="F243">
        <v>1</v>
      </c>
      <c r="G243">
        <v>0</v>
      </c>
    </row>
    <row r="244" spans="1:7">
      <c r="A244">
        <v>828219.67</v>
      </c>
      <c r="B244">
        <v>70799.64</v>
      </c>
      <c r="C244">
        <v>10076</v>
      </c>
      <c r="D244">
        <v>0.152</v>
      </c>
      <c r="E244">
        <v>0</v>
      </c>
      <c r="F244">
        <v>1</v>
      </c>
      <c r="G244">
        <v>0</v>
      </c>
    </row>
    <row r="245" spans="1:7">
      <c r="A245">
        <v>763159.92</v>
      </c>
      <c r="B245">
        <v>53546.34</v>
      </c>
      <c r="C245">
        <v>8004</v>
      </c>
      <c r="D245">
        <v>0</v>
      </c>
      <c r="E245">
        <v>0</v>
      </c>
      <c r="F245">
        <v>1</v>
      </c>
      <c r="G245">
        <v>0</v>
      </c>
    </row>
    <row r="246" spans="1:7">
      <c r="A246">
        <v>802001.68</v>
      </c>
      <c r="B246">
        <v>76942.2</v>
      </c>
      <c r="C246">
        <v>8934</v>
      </c>
      <c r="D246">
        <v>8.4000000000000005E-2</v>
      </c>
      <c r="E246">
        <v>0</v>
      </c>
      <c r="F246">
        <v>0</v>
      </c>
      <c r="G246">
        <v>0</v>
      </c>
    </row>
    <row r="247" spans="1:7">
      <c r="A247">
        <v>750471.34</v>
      </c>
      <c r="B247">
        <v>48060.78</v>
      </c>
      <c r="C247">
        <v>8733</v>
      </c>
      <c r="D247">
        <v>0</v>
      </c>
      <c r="E247">
        <v>0</v>
      </c>
      <c r="F247">
        <v>0</v>
      </c>
      <c r="G247">
        <v>0</v>
      </c>
    </row>
    <row r="248" spans="1:7">
      <c r="A248">
        <v>679230.86</v>
      </c>
      <c r="B248">
        <v>57390.04</v>
      </c>
      <c r="C248">
        <v>7374</v>
      </c>
      <c r="D248">
        <v>0.21</v>
      </c>
      <c r="E248">
        <v>0</v>
      </c>
      <c r="F248">
        <v>0</v>
      </c>
      <c r="G248">
        <v>0</v>
      </c>
    </row>
    <row r="249" spans="1:7">
      <c r="A249">
        <v>679888.74</v>
      </c>
      <c r="B249">
        <v>21536.18</v>
      </c>
      <c r="C249">
        <v>8119</v>
      </c>
      <c r="D249">
        <v>0.22700000000000001</v>
      </c>
      <c r="E249">
        <v>0</v>
      </c>
      <c r="F249">
        <v>0</v>
      </c>
      <c r="G249">
        <v>0</v>
      </c>
    </row>
    <row r="250" spans="1:7">
      <c r="A250">
        <v>606783.67000000004</v>
      </c>
      <c r="B250">
        <v>40923.67</v>
      </c>
      <c r="C250">
        <v>3875</v>
      </c>
      <c r="D250">
        <v>0.15</v>
      </c>
      <c r="E250">
        <v>1</v>
      </c>
      <c r="F250">
        <v>0</v>
      </c>
      <c r="G250">
        <v>0</v>
      </c>
    </row>
    <row r="251" spans="1:7">
      <c r="A251">
        <v>642751.42000000004</v>
      </c>
      <c r="B251">
        <v>72932.55</v>
      </c>
      <c r="C251">
        <v>5765</v>
      </c>
      <c r="D251">
        <v>2.5999999999999999E-2</v>
      </c>
      <c r="E251">
        <v>1</v>
      </c>
      <c r="F251">
        <v>0</v>
      </c>
      <c r="G251">
        <v>0</v>
      </c>
    </row>
    <row r="252" spans="1:7">
      <c r="A252">
        <v>647953.78</v>
      </c>
      <c r="B252">
        <v>38361.93</v>
      </c>
      <c r="C252">
        <v>6322</v>
      </c>
      <c r="D252">
        <v>0.27300000000000002</v>
      </c>
      <c r="E252">
        <v>1</v>
      </c>
      <c r="F252">
        <v>0</v>
      </c>
      <c r="G252">
        <v>0</v>
      </c>
    </row>
    <row r="253" spans="1:7">
      <c r="A253">
        <v>729440.45</v>
      </c>
      <c r="B253">
        <v>97480.94</v>
      </c>
      <c r="C253">
        <v>6840</v>
      </c>
      <c r="D253">
        <v>8.6999999999999994E-2</v>
      </c>
      <c r="E253">
        <v>1</v>
      </c>
      <c r="F253">
        <v>0</v>
      </c>
      <c r="G253">
        <v>0</v>
      </c>
    </row>
    <row r="254" spans="1:7">
      <c r="A254">
        <v>764949</v>
      </c>
      <c r="B254">
        <v>81801.8</v>
      </c>
      <c r="C254">
        <v>6782</v>
      </c>
      <c r="D254">
        <v>0.05</v>
      </c>
      <c r="E254">
        <v>0</v>
      </c>
      <c r="F254">
        <v>1</v>
      </c>
      <c r="G254">
        <v>0</v>
      </c>
    </row>
    <row r="255" spans="1:7">
      <c r="A255">
        <v>799046.94</v>
      </c>
      <c r="B255">
        <v>63582.11</v>
      </c>
      <c r="C255">
        <v>6856</v>
      </c>
      <c r="D255">
        <v>7.3999999999999996E-2</v>
      </c>
      <c r="E255">
        <v>0</v>
      </c>
      <c r="F255">
        <v>1</v>
      </c>
      <c r="G255">
        <v>0</v>
      </c>
    </row>
    <row r="256" spans="1:7">
      <c r="A256">
        <v>720079.54</v>
      </c>
      <c r="B256">
        <v>75412.740000000005</v>
      </c>
      <c r="C256">
        <v>5641</v>
      </c>
      <c r="D256">
        <v>5.8999999999999997E-2</v>
      </c>
      <c r="E256">
        <v>0</v>
      </c>
      <c r="F256">
        <v>1</v>
      </c>
      <c r="G256">
        <v>0</v>
      </c>
    </row>
    <row r="257" spans="1:7">
      <c r="A257">
        <v>612390.14</v>
      </c>
      <c r="B257">
        <v>36290.080000000002</v>
      </c>
      <c r="C257">
        <v>5787</v>
      </c>
      <c r="D257">
        <v>0</v>
      </c>
      <c r="E257">
        <v>0</v>
      </c>
      <c r="F257">
        <v>1</v>
      </c>
      <c r="G257">
        <v>0</v>
      </c>
    </row>
    <row r="258" spans="1:7">
      <c r="A258">
        <v>840108.12</v>
      </c>
      <c r="B258">
        <v>65272.58</v>
      </c>
      <c r="C258">
        <v>8165</v>
      </c>
      <c r="D258">
        <v>5.0999999999999997E-2</v>
      </c>
      <c r="E258">
        <v>0</v>
      </c>
      <c r="F258">
        <v>1</v>
      </c>
      <c r="G258">
        <v>0</v>
      </c>
    </row>
    <row r="259" spans="1:7">
      <c r="A259">
        <v>697888.09</v>
      </c>
      <c r="B259">
        <v>28670.43</v>
      </c>
      <c r="C259">
        <v>7574</v>
      </c>
      <c r="D259">
        <v>0.114</v>
      </c>
      <c r="E259">
        <v>0</v>
      </c>
      <c r="F259">
        <v>1</v>
      </c>
      <c r="G259">
        <v>0</v>
      </c>
    </row>
    <row r="260" spans="1:7">
      <c r="A260">
        <v>746115.59</v>
      </c>
      <c r="B260">
        <v>44189.34</v>
      </c>
      <c r="C260">
        <v>8634</v>
      </c>
      <c r="D260">
        <v>0.14299999999999999</v>
      </c>
      <c r="E260">
        <v>0</v>
      </c>
      <c r="F260">
        <v>1</v>
      </c>
      <c r="G260">
        <v>0</v>
      </c>
    </row>
    <row r="261" spans="1:7">
      <c r="A261">
        <v>776110.32</v>
      </c>
      <c r="B261">
        <v>38397.82</v>
      </c>
      <c r="C261">
        <v>7836</v>
      </c>
      <c r="D261">
        <v>7.0000000000000001E-3</v>
      </c>
      <c r="E261">
        <v>0</v>
      </c>
      <c r="F261">
        <v>1</v>
      </c>
      <c r="G261">
        <v>0</v>
      </c>
    </row>
    <row r="262" spans="1:7">
      <c r="A262">
        <v>528852.62</v>
      </c>
      <c r="B262">
        <v>14519.37</v>
      </c>
      <c r="C262">
        <v>3047</v>
      </c>
      <c r="D262">
        <v>0.13500000000000001</v>
      </c>
      <c r="E262">
        <v>0</v>
      </c>
      <c r="F262">
        <v>0</v>
      </c>
      <c r="G262">
        <v>1</v>
      </c>
    </row>
    <row r="263" spans="1:7">
      <c r="A263">
        <v>605751.32999999996</v>
      </c>
      <c r="B263">
        <v>43288.2</v>
      </c>
      <c r="C263">
        <v>4783</v>
      </c>
      <c r="D263">
        <v>0.16900000000000001</v>
      </c>
      <c r="E263">
        <v>0</v>
      </c>
      <c r="F263">
        <v>0</v>
      </c>
      <c r="G263">
        <v>1</v>
      </c>
    </row>
    <row r="264" spans="1:7">
      <c r="A264">
        <v>677640.65</v>
      </c>
      <c r="B264">
        <v>51450.55</v>
      </c>
      <c r="C264">
        <v>4902</v>
      </c>
      <c r="D264">
        <v>8.5999999999999993E-2</v>
      </c>
      <c r="E264">
        <v>0</v>
      </c>
      <c r="F264">
        <v>0</v>
      </c>
      <c r="G264">
        <v>1</v>
      </c>
    </row>
    <row r="265" spans="1:7">
      <c r="A265">
        <v>636613.23</v>
      </c>
      <c r="B265">
        <v>58688.26</v>
      </c>
      <c r="C265">
        <v>4022</v>
      </c>
      <c r="D265">
        <v>0.217</v>
      </c>
      <c r="E265">
        <v>0</v>
      </c>
      <c r="F265">
        <v>0</v>
      </c>
      <c r="G265">
        <v>1</v>
      </c>
    </row>
    <row r="266" spans="1:7">
      <c r="A266">
        <v>708985.19</v>
      </c>
      <c r="B266">
        <v>58981.91</v>
      </c>
      <c r="C266">
        <v>7324</v>
      </c>
      <c r="D266">
        <v>9.4E-2</v>
      </c>
      <c r="E266">
        <v>0</v>
      </c>
      <c r="F266">
        <v>0</v>
      </c>
      <c r="G266">
        <v>0</v>
      </c>
    </row>
    <row r="267" spans="1:7">
      <c r="A267">
        <v>767792.94</v>
      </c>
      <c r="B267">
        <v>73454.539999999994</v>
      </c>
      <c r="C267">
        <v>8129</v>
      </c>
      <c r="D267">
        <v>0.21099999999999999</v>
      </c>
      <c r="E267">
        <v>0</v>
      </c>
      <c r="F267">
        <v>0</v>
      </c>
      <c r="G267">
        <v>0</v>
      </c>
    </row>
    <row r="268" spans="1:7">
      <c r="A268">
        <v>745580.51</v>
      </c>
      <c r="B268">
        <v>56602.39</v>
      </c>
      <c r="C268">
        <v>7969</v>
      </c>
      <c r="D268">
        <v>0.17</v>
      </c>
      <c r="E268">
        <v>0</v>
      </c>
      <c r="F268">
        <v>0</v>
      </c>
      <c r="G268">
        <v>0</v>
      </c>
    </row>
    <row r="269" spans="1:7">
      <c r="A269">
        <v>762328.31</v>
      </c>
      <c r="B269">
        <v>67722.289999999994</v>
      </c>
      <c r="C269">
        <v>7240</v>
      </c>
      <c r="D269">
        <v>2.5999999999999999E-2</v>
      </c>
      <c r="E269">
        <v>0</v>
      </c>
      <c r="F269">
        <v>0</v>
      </c>
      <c r="G269">
        <v>0</v>
      </c>
    </row>
    <row r="270" spans="1:7">
      <c r="A270">
        <v>660633.99</v>
      </c>
      <c r="B270">
        <v>48752.92</v>
      </c>
      <c r="C270">
        <v>8052</v>
      </c>
      <c r="D270">
        <v>0.106</v>
      </c>
      <c r="E270">
        <v>0</v>
      </c>
      <c r="F270">
        <v>0</v>
      </c>
      <c r="G270">
        <v>0</v>
      </c>
    </row>
    <row r="271" spans="1:7">
      <c r="A271">
        <v>739374.56</v>
      </c>
      <c r="B271">
        <v>23914.97</v>
      </c>
      <c r="C271">
        <v>8018</v>
      </c>
      <c r="D271">
        <v>0.13900000000000001</v>
      </c>
      <c r="E271">
        <v>0</v>
      </c>
      <c r="F271">
        <v>0</v>
      </c>
      <c r="G271">
        <v>0</v>
      </c>
    </row>
    <row r="272" spans="1:7">
      <c r="A272">
        <v>799756.46</v>
      </c>
      <c r="B272">
        <v>61995.3</v>
      </c>
      <c r="C272">
        <v>10192</v>
      </c>
      <c r="D272">
        <v>0.19800000000000001</v>
      </c>
      <c r="E272">
        <v>0</v>
      </c>
      <c r="F272">
        <v>0</v>
      </c>
      <c r="G272">
        <v>0</v>
      </c>
    </row>
    <row r="273" spans="1:7">
      <c r="A273">
        <v>593343</v>
      </c>
      <c r="B273">
        <v>29344.93</v>
      </c>
      <c r="C273">
        <v>7446</v>
      </c>
      <c r="D273">
        <v>0.111</v>
      </c>
      <c r="E273">
        <v>0</v>
      </c>
      <c r="F273">
        <v>0</v>
      </c>
      <c r="G273">
        <v>0</v>
      </c>
    </row>
    <row r="274" spans="1:7">
      <c r="A274">
        <v>645039.97</v>
      </c>
      <c r="B274">
        <v>50532.17</v>
      </c>
      <c r="C274">
        <v>5689</v>
      </c>
      <c r="D274">
        <v>5.1999999999999998E-2</v>
      </c>
      <c r="E274">
        <v>0</v>
      </c>
      <c r="F274">
        <v>0</v>
      </c>
      <c r="G274">
        <v>1</v>
      </c>
    </row>
    <row r="275" spans="1:7">
      <c r="A275">
        <v>561597.32999999996</v>
      </c>
      <c r="B275">
        <v>17562.57</v>
      </c>
      <c r="C275">
        <v>3326</v>
      </c>
      <c r="D275">
        <v>0.153</v>
      </c>
      <c r="E275">
        <v>0</v>
      </c>
      <c r="F275">
        <v>0</v>
      </c>
      <c r="G275">
        <v>1</v>
      </c>
    </row>
    <row r="276" spans="1:7">
      <c r="A276">
        <v>635837.74</v>
      </c>
      <c r="B276">
        <v>47648.71</v>
      </c>
      <c r="C276">
        <v>5767</v>
      </c>
      <c r="D276">
        <v>0.14099999999999999</v>
      </c>
      <c r="E276">
        <v>0</v>
      </c>
      <c r="F276">
        <v>0</v>
      </c>
      <c r="G276">
        <v>1</v>
      </c>
    </row>
    <row r="277" spans="1:7">
      <c r="A277">
        <v>686737.87</v>
      </c>
      <c r="B277">
        <v>38297.58</v>
      </c>
      <c r="C277">
        <v>5893</v>
      </c>
      <c r="D277">
        <v>0.247</v>
      </c>
      <c r="E277">
        <v>0</v>
      </c>
      <c r="F277">
        <v>0</v>
      </c>
      <c r="G277">
        <v>1</v>
      </c>
    </row>
    <row r="278" spans="1:7">
      <c r="A278">
        <v>673076.34</v>
      </c>
      <c r="B278">
        <v>61784.11</v>
      </c>
      <c r="C278">
        <v>8564</v>
      </c>
      <c r="D278">
        <v>0.13</v>
      </c>
      <c r="E278">
        <v>0</v>
      </c>
      <c r="F278">
        <v>1</v>
      </c>
      <c r="G278">
        <v>0</v>
      </c>
    </row>
    <row r="279" spans="1:7">
      <c r="A279">
        <v>738548.42</v>
      </c>
      <c r="B279">
        <v>36832.33</v>
      </c>
      <c r="C279">
        <v>8001</v>
      </c>
      <c r="D279">
        <v>0</v>
      </c>
      <c r="E279">
        <v>0</v>
      </c>
      <c r="F279">
        <v>1</v>
      </c>
      <c r="G279">
        <v>0</v>
      </c>
    </row>
    <row r="280" spans="1:7">
      <c r="A280">
        <v>756619.77</v>
      </c>
      <c r="B280">
        <v>48609.41</v>
      </c>
      <c r="C280">
        <v>9324</v>
      </c>
      <c r="D280">
        <v>0.21299999999999999</v>
      </c>
      <c r="E280">
        <v>0</v>
      </c>
      <c r="F280">
        <v>1</v>
      </c>
      <c r="G280">
        <v>0</v>
      </c>
    </row>
    <row r="281" spans="1:7">
      <c r="A281">
        <v>761122.42</v>
      </c>
      <c r="B281">
        <v>70284.06</v>
      </c>
      <c r="C281">
        <v>9109</v>
      </c>
      <c r="D281">
        <v>4.0000000000000001E-3</v>
      </c>
      <c r="E281">
        <v>0</v>
      </c>
      <c r="F281">
        <v>1</v>
      </c>
      <c r="G281">
        <v>0</v>
      </c>
    </row>
    <row r="282" spans="1:7">
      <c r="A282">
        <v>524899.56999999995</v>
      </c>
      <c r="B282">
        <v>45940.39</v>
      </c>
      <c r="C282">
        <v>4022</v>
      </c>
      <c r="D282">
        <v>6.9000000000000006E-2</v>
      </c>
      <c r="E282">
        <v>0</v>
      </c>
      <c r="F282">
        <v>1</v>
      </c>
      <c r="G282">
        <v>0</v>
      </c>
    </row>
    <row r="283" spans="1:7">
      <c r="A283">
        <v>555557.77</v>
      </c>
      <c r="B283">
        <v>34771.26</v>
      </c>
      <c r="C283">
        <v>4355</v>
      </c>
      <c r="D283">
        <v>5.0999999999999997E-2</v>
      </c>
      <c r="E283">
        <v>0</v>
      </c>
      <c r="F283">
        <v>1</v>
      </c>
      <c r="G283">
        <v>0</v>
      </c>
    </row>
    <row r="284" spans="1:7">
      <c r="A284">
        <v>714083.68</v>
      </c>
      <c r="B284">
        <v>66104.19</v>
      </c>
      <c r="C284">
        <v>5745</v>
      </c>
      <c r="D284">
        <v>7.0000000000000007E-2</v>
      </c>
      <c r="E284">
        <v>0</v>
      </c>
      <c r="F284">
        <v>1</v>
      </c>
      <c r="G284">
        <v>0</v>
      </c>
    </row>
    <row r="285" spans="1:7">
      <c r="A285">
        <v>497439.82</v>
      </c>
      <c r="B285">
        <v>18599.21</v>
      </c>
      <c r="C285">
        <v>3027</v>
      </c>
      <c r="D285">
        <v>0.122</v>
      </c>
      <c r="E285">
        <v>0</v>
      </c>
      <c r="F285">
        <v>1</v>
      </c>
      <c r="G285">
        <v>0</v>
      </c>
    </row>
    <row r="286" spans="1:7">
      <c r="A286">
        <v>636775.66</v>
      </c>
      <c r="B286">
        <v>60183.06</v>
      </c>
      <c r="C286">
        <v>5562</v>
      </c>
      <c r="D286">
        <v>8.9999999999999993E-3</v>
      </c>
      <c r="E286">
        <v>0</v>
      </c>
      <c r="F286">
        <v>0</v>
      </c>
      <c r="G286">
        <v>1</v>
      </c>
    </row>
    <row r="287" spans="1:7">
      <c r="A287">
        <v>633009.53</v>
      </c>
      <c r="B287">
        <v>74539.14</v>
      </c>
      <c r="C287">
        <v>4487</v>
      </c>
      <c r="D287">
        <v>0.14000000000000001</v>
      </c>
      <c r="E287">
        <v>0</v>
      </c>
      <c r="F287">
        <v>0</v>
      </c>
      <c r="G287">
        <v>1</v>
      </c>
    </row>
    <row r="288" spans="1:7">
      <c r="A288">
        <v>609949</v>
      </c>
      <c r="B288">
        <v>55371.97</v>
      </c>
      <c r="C288">
        <v>4162</v>
      </c>
      <c r="D288">
        <v>0.183</v>
      </c>
      <c r="E288">
        <v>0</v>
      </c>
      <c r="F288">
        <v>0</v>
      </c>
      <c r="G288">
        <v>1</v>
      </c>
    </row>
    <row r="289" spans="1:7">
      <c r="A289">
        <v>548103.69999999995</v>
      </c>
      <c r="B289">
        <v>40928.69</v>
      </c>
      <c r="C289">
        <v>4094</v>
      </c>
      <c r="D289">
        <v>0.17399999999999999</v>
      </c>
      <c r="E289">
        <v>0</v>
      </c>
      <c r="F289">
        <v>0</v>
      </c>
      <c r="G289">
        <v>1</v>
      </c>
    </row>
    <row r="290" spans="1:7">
      <c r="A290">
        <v>729424.42</v>
      </c>
      <c r="B290">
        <v>70012.41</v>
      </c>
      <c r="C290">
        <v>8484</v>
      </c>
      <c r="D290">
        <v>0.27300000000000002</v>
      </c>
      <c r="E290">
        <v>0</v>
      </c>
      <c r="F290">
        <v>0</v>
      </c>
      <c r="G290">
        <v>0</v>
      </c>
    </row>
    <row r="291" spans="1:7">
      <c r="A291">
        <v>696261.49</v>
      </c>
      <c r="B291">
        <v>68909.259999999995</v>
      </c>
      <c r="C291">
        <v>7794</v>
      </c>
      <c r="D291">
        <v>0.28399999999999997</v>
      </c>
      <c r="E291">
        <v>0</v>
      </c>
      <c r="F291">
        <v>0</v>
      </c>
      <c r="G291">
        <v>0</v>
      </c>
    </row>
    <row r="292" spans="1:7">
      <c r="A292">
        <v>813316.71</v>
      </c>
      <c r="B292">
        <v>56737.3</v>
      </c>
      <c r="C292">
        <v>8300</v>
      </c>
      <c r="D292">
        <v>3.2000000000000001E-2</v>
      </c>
      <c r="E292">
        <v>0</v>
      </c>
      <c r="F292">
        <v>0</v>
      </c>
      <c r="G292">
        <v>0</v>
      </c>
    </row>
    <row r="293" spans="1:7">
      <c r="A293">
        <v>702068.92</v>
      </c>
      <c r="B293">
        <v>54080.91</v>
      </c>
      <c r="C293">
        <v>7083</v>
      </c>
      <c r="D293">
        <v>0</v>
      </c>
      <c r="E293">
        <v>0</v>
      </c>
      <c r="F293">
        <v>0</v>
      </c>
      <c r="G293">
        <v>0</v>
      </c>
    </row>
    <row r="294" spans="1:7">
      <c r="A294">
        <v>546223.69999999995</v>
      </c>
      <c r="B294">
        <v>51996.32</v>
      </c>
      <c r="C294">
        <v>3834</v>
      </c>
      <c r="D294">
        <v>9.6000000000000002E-2</v>
      </c>
      <c r="E294">
        <v>0</v>
      </c>
      <c r="F294">
        <v>0</v>
      </c>
      <c r="G294">
        <v>1</v>
      </c>
    </row>
    <row r="295" spans="1:7">
      <c r="A295">
        <v>533121.26</v>
      </c>
      <c r="B295">
        <v>40102.879999999997</v>
      </c>
      <c r="C295">
        <v>2358</v>
      </c>
      <c r="D295">
        <v>0.11899999999999999</v>
      </c>
      <c r="E295">
        <v>0</v>
      </c>
      <c r="F295">
        <v>0</v>
      </c>
      <c r="G295">
        <v>1</v>
      </c>
    </row>
    <row r="296" spans="1:7">
      <c r="A296">
        <v>498970.32</v>
      </c>
      <c r="B296">
        <v>59825.51</v>
      </c>
      <c r="C296">
        <v>1231</v>
      </c>
      <c r="D296">
        <v>0.214</v>
      </c>
      <c r="E296">
        <v>0</v>
      </c>
      <c r="F296">
        <v>0</v>
      </c>
      <c r="G296">
        <v>1</v>
      </c>
    </row>
    <row r="297" spans="1:7">
      <c r="A297">
        <v>487738.26</v>
      </c>
      <c r="B297">
        <v>27398.28</v>
      </c>
      <c r="C297">
        <v>1723</v>
      </c>
      <c r="D297">
        <v>0.17100000000000001</v>
      </c>
      <c r="E297">
        <v>0</v>
      </c>
      <c r="F297">
        <v>0</v>
      </c>
      <c r="G297">
        <v>1</v>
      </c>
    </row>
    <row r="298" spans="1:7">
      <c r="A298">
        <v>668459.37</v>
      </c>
      <c r="B298">
        <v>55599.56</v>
      </c>
      <c r="C298">
        <v>5896</v>
      </c>
      <c r="D298">
        <v>3.5999999999999997E-2</v>
      </c>
      <c r="E298">
        <v>0</v>
      </c>
      <c r="F298">
        <v>0</v>
      </c>
      <c r="G298">
        <v>1</v>
      </c>
    </row>
    <row r="299" spans="1:7">
      <c r="A299">
        <v>763162.45</v>
      </c>
      <c r="B299">
        <v>55477.61</v>
      </c>
      <c r="C299">
        <v>5903</v>
      </c>
      <c r="D299">
        <v>0.10199999999999999</v>
      </c>
      <c r="E299">
        <v>0</v>
      </c>
      <c r="F299">
        <v>0</v>
      </c>
      <c r="G299">
        <v>1</v>
      </c>
    </row>
    <row r="300" spans="1:7">
      <c r="A300">
        <v>599017.32999999996</v>
      </c>
      <c r="B300">
        <v>46174.7</v>
      </c>
      <c r="C300">
        <v>4898</v>
      </c>
      <c r="D300">
        <v>0.114</v>
      </c>
      <c r="E300">
        <v>0</v>
      </c>
      <c r="F300">
        <v>0</v>
      </c>
      <c r="G300">
        <v>1</v>
      </c>
    </row>
    <row r="301" spans="1:7">
      <c r="A301">
        <v>401582.58</v>
      </c>
      <c r="B301">
        <v>24362.98</v>
      </c>
      <c r="C301">
        <v>1462</v>
      </c>
      <c r="D301">
        <v>0.11700000000000001</v>
      </c>
      <c r="E301">
        <v>0</v>
      </c>
      <c r="F301">
        <v>0</v>
      </c>
      <c r="G301">
        <v>1</v>
      </c>
    </row>
    <row r="302" spans="1:7">
      <c r="A302">
        <v>703812.99</v>
      </c>
      <c r="B302">
        <v>40647.67</v>
      </c>
      <c r="C302">
        <v>8252</v>
      </c>
      <c r="D302">
        <v>0.14099999999999999</v>
      </c>
      <c r="E302">
        <v>1</v>
      </c>
      <c r="F302">
        <v>0</v>
      </c>
      <c r="G302">
        <v>0</v>
      </c>
    </row>
    <row r="303" spans="1:7">
      <c r="A303">
        <v>724346.73</v>
      </c>
      <c r="B303">
        <v>63986.98</v>
      </c>
      <c r="C303">
        <v>7989</v>
      </c>
      <c r="D303">
        <v>7.3999999999999996E-2</v>
      </c>
      <c r="E303">
        <v>1</v>
      </c>
      <c r="F303">
        <v>0</v>
      </c>
      <c r="G303">
        <v>0</v>
      </c>
    </row>
    <row r="304" spans="1:7">
      <c r="A304">
        <v>730890.01</v>
      </c>
      <c r="B304">
        <v>52843.75</v>
      </c>
      <c r="C304">
        <v>8268</v>
      </c>
      <c r="D304">
        <v>0.13800000000000001</v>
      </c>
      <c r="E304">
        <v>1</v>
      </c>
      <c r="F304">
        <v>0</v>
      </c>
      <c r="G304">
        <v>0</v>
      </c>
    </row>
    <row r="305" spans="1:7">
      <c r="A305">
        <v>780580.95</v>
      </c>
      <c r="B305">
        <v>31997.25</v>
      </c>
      <c r="C305">
        <v>8183</v>
      </c>
      <c r="D305">
        <v>0.19800000000000001</v>
      </c>
      <c r="E305">
        <v>1</v>
      </c>
      <c r="F305">
        <v>0</v>
      </c>
      <c r="G305">
        <v>0</v>
      </c>
    </row>
    <row r="306" spans="1:7">
      <c r="A306">
        <v>727957.48</v>
      </c>
      <c r="B306">
        <v>54948.02</v>
      </c>
      <c r="C306">
        <v>6534</v>
      </c>
      <c r="D306">
        <v>0.183</v>
      </c>
      <c r="E306">
        <v>0</v>
      </c>
      <c r="F306">
        <v>1</v>
      </c>
      <c r="G306">
        <v>0</v>
      </c>
    </row>
    <row r="307" spans="1:7">
      <c r="A307">
        <v>538376</v>
      </c>
      <c r="B307">
        <v>46146.239999999998</v>
      </c>
      <c r="C307">
        <v>5804</v>
      </c>
      <c r="D307">
        <v>4.7E-2</v>
      </c>
      <c r="E307">
        <v>0</v>
      </c>
      <c r="F307">
        <v>1</v>
      </c>
      <c r="G307">
        <v>0</v>
      </c>
    </row>
    <row r="308" spans="1:7">
      <c r="A308">
        <v>665342.49</v>
      </c>
      <c r="B308">
        <v>22387.26</v>
      </c>
      <c r="C308">
        <v>6301</v>
      </c>
      <c r="D308">
        <v>0.14599999999999999</v>
      </c>
      <c r="E308">
        <v>0</v>
      </c>
      <c r="F308">
        <v>1</v>
      </c>
      <c r="G308">
        <v>0</v>
      </c>
    </row>
    <row r="309" spans="1:7">
      <c r="A309">
        <v>651164.18000000005</v>
      </c>
      <c r="B309">
        <v>60684.05</v>
      </c>
      <c r="C309">
        <v>6399</v>
      </c>
      <c r="D309">
        <v>7.4999999999999997E-2</v>
      </c>
      <c r="E309">
        <v>0</v>
      </c>
      <c r="F309">
        <v>1</v>
      </c>
      <c r="G309">
        <v>0</v>
      </c>
    </row>
    <row r="310" spans="1:7">
      <c r="A310">
        <v>628538.30000000005</v>
      </c>
      <c r="B310">
        <v>48465.599999999999</v>
      </c>
      <c r="C310">
        <v>5759</v>
      </c>
      <c r="D310">
        <v>0.154</v>
      </c>
      <c r="E310">
        <v>0</v>
      </c>
      <c r="F310">
        <v>1</v>
      </c>
      <c r="G310">
        <v>0</v>
      </c>
    </row>
    <row r="311" spans="1:7">
      <c r="A311">
        <v>536524.84</v>
      </c>
      <c r="B311">
        <v>23702.38</v>
      </c>
      <c r="C311">
        <v>5285</v>
      </c>
      <c r="D311">
        <v>0.16700000000000001</v>
      </c>
      <c r="E311">
        <v>0</v>
      </c>
      <c r="F311">
        <v>1</v>
      </c>
      <c r="G311">
        <v>0</v>
      </c>
    </row>
    <row r="312" spans="1:7">
      <c r="A312">
        <v>621677.30000000005</v>
      </c>
      <c r="B312">
        <v>54322.94</v>
      </c>
      <c r="C312">
        <v>5434</v>
      </c>
      <c r="D312">
        <v>0.2</v>
      </c>
      <c r="E312">
        <v>0</v>
      </c>
      <c r="F312">
        <v>1</v>
      </c>
      <c r="G312">
        <v>0</v>
      </c>
    </row>
    <row r="313" spans="1:7">
      <c r="A313">
        <v>771129.07</v>
      </c>
      <c r="B313">
        <v>86026.58</v>
      </c>
      <c r="C313">
        <v>7479</v>
      </c>
      <c r="D313">
        <v>0.14199999999999999</v>
      </c>
      <c r="E313">
        <v>0</v>
      </c>
      <c r="F313">
        <v>1</v>
      </c>
      <c r="G313">
        <v>0</v>
      </c>
    </row>
    <row r="314" spans="1:7">
      <c r="A314">
        <v>702052.47</v>
      </c>
      <c r="B314">
        <v>78967.520000000004</v>
      </c>
      <c r="C314">
        <v>6164</v>
      </c>
      <c r="D314">
        <v>2.1000000000000001E-2</v>
      </c>
      <c r="E314">
        <v>1</v>
      </c>
      <c r="F314">
        <v>0</v>
      </c>
      <c r="G314">
        <v>0</v>
      </c>
    </row>
    <row r="315" spans="1:7">
      <c r="A315">
        <v>688368.46</v>
      </c>
      <c r="B315">
        <v>46767.99</v>
      </c>
      <c r="C315">
        <v>7973</v>
      </c>
      <c r="D315">
        <v>0.183</v>
      </c>
      <c r="E315">
        <v>1</v>
      </c>
      <c r="F315">
        <v>0</v>
      </c>
      <c r="G315">
        <v>0</v>
      </c>
    </row>
    <row r="316" spans="1:7">
      <c r="A316">
        <v>712375.77</v>
      </c>
      <c r="B316">
        <v>62507.16</v>
      </c>
      <c r="C316">
        <v>6000</v>
      </c>
      <c r="D316">
        <v>9.0999999999999998E-2</v>
      </c>
      <c r="E316">
        <v>1</v>
      </c>
      <c r="F316">
        <v>0</v>
      </c>
      <c r="G316">
        <v>0</v>
      </c>
    </row>
    <row r="317" spans="1:7">
      <c r="A317">
        <v>844710.67</v>
      </c>
      <c r="B317">
        <v>66456.28</v>
      </c>
      <c r="C317">
        <v>9967</v>
      </c>
      <c r="D317">
        <v>0.108</v>
      </c>
      <c r="E317">
        <v>1</v>
      </c>
      <c r="F317">
        <v>0</v>
      </c>
      <c r="G317">
        <v>0</v>
      </c>
    </row>
    <row r="318" spans="1:7">
      <c r="A318">
        <v>620264.19999999995</v>
      </c>
      <c r="B318">
        <v>76614.320000000007</v>
      </c>
      <c r="C318">
        <v>5639</v>
      </c>
      <c r="D318">
        <v>0.17399999999999999</v>
      </c>
      <c r="E318">
        <v>0</v>
      </c>
      <c r="F318">
        <v>0</v>
      </c>
      <c r="G318">
        <v>0</v>
      </c>
    </row>
    <row r="319" spans="1:7">
      <c r="A319">
        <v>536845.42000000004</v>
      </c>
      <c r="B319">
        <v>24088.06</v>
      </c>
      <c r="C319">
        <v>3466</v>
      </c>
      <c r="D319">
        <v>0</v>
      </c>
      <c r="E319">
        <v>0</v>
      </c>
      <c r="F319">
        <v>0</v>
      </c>
      <c r="G319">
        <v>0</v>
      </c>
    </row>
    <row r="320" spans="1:7">
      <c r="A320">
        <v>726776.22</v>
      </c>
      <c r="B320">
        <v>81902.58</v>
      </c>
      <c r="C320">
        <v>7775</v>
      </c>
      <c r="D320">
        <v>0.215</v>
      </c>
      <c r="E320">
        <v>0</v>
      </c>
      <c r="F320">
        <v>0</v>
      </c>
      <c r="G320">
        <v>0</v>
      </c>
    </row>
    <row r="321" spans="1:7">
      <c r="A321">
        <v>559660.84</v>
      </c>
      <c r="B321">
        <v>40553.11</v>
      </c>
      <c r="C321">
        <v>5317</v>
      </c>
      <c r="D321">
        <v>0.16500000000000001</v>
      </c>
      <c r="E321">
        <v>0</v>
      </c>
      <c r="F321">
        <v>0</v>
      </c>
      <c r="G321">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1B0A-6340-4E31-9569-60677CE85383}">
  <dimension ref="A1:I23"/>
  <sheetViews>
    <sheetView topLeftCell="A5" workbookViewId="0">
      <selection activeCell="P17" sqref="P17"/>
    </sheetView>
  </sheetViews>
  <sheetFormatPr defaultRowHeight="13.8"/>
  <sheetData>
    <row r="1" spans="1:9">
      <c r="A1" t="s">
        <v>136</v>
      </c>
    </row>
    <row r="2" spans="1:9" ht="14.4" thickBot="1"/>
    <row r="3" spans="1:9" ht="14.4">
      <c r="A3" s="10" t="s">
        <v>137</v>
      </c>
      <c r="B3" s="10"/>
    </row>
    <row r="4" spans="1:9">
      <c r="A4" s="7" t="s">
        <v>138</v>
      </c>
      <c r="B4" s="7">
        <v>0.89029629555297063</v>
      </c>
    </row>
    <row r="5" spans="1:9">
      <c r="A5" s="7" t="s">
        <v>139</v>
      </c>
      <c r="B5" s="7">
        <v>0.79262749387534248</v>
      </c>
    </row>
    <row r="6" spans="1:9">
      <c r="A6" s="7" t="s">
        <v>140</v>
      </c>
      <c r="B6" s="7">
        <v>0.7886523020646462</v>
      </c>
    </row>
    <row r="7" spans="1:9">
      <c r="A7" s="7" t="s">
        <v>141</v>
      </c>
      <c r="B7" s="7">
        <v>47706.48829706417</v>
      </c>
    </row>
    <row r="8" spans="1:9" ht="14.4" thickBot="1">
      <c r="A8" s="8" t="s">
        <v>142</v>
      </c>
      <c r="B8" s="8">
        <v>320</v>
      </c>
    </row>
    <row r="10" spans="1:9" ht="14.4" thickBot="1">
      <c r="A10" t="s">
        <v>143</v>
      </c>
    </row>
    <row r="11" spans="1:9" ht="14.4">
      <c r="A11" s="9"/>
      <c r="B11" s="9" t="s">
        <v>148</v>
      </c>
      <c r="C11" s="9" t="s">
        <v>149</v>
      </c>
      <c r="D11" s="9" t="s">
        <v>150</v>
      </c>
      <c r="E11" s="9" t="s">
        <v>151</v>
      </c>
      <c r="F11" s="9" t="s">
        <v>152</v>
      </c>
    </row>
    <row r="12" spans="1:9">
      <c r="A12" s="7" t="s">
        <v>144</v>
      </c>
      <c r="B12" s="7">
        <v>6</v>
      </c>
      <c r="C12" s="7">
        <v>2722809091766.0703</v>
      </c>
      <c r="D12" s="7">
        <v>453801515294.34503</v>
      </c>
      <c r="E12" s="7">
        <v>199.39352152582103</v>
      </c>
      <c r="F12" s="7">
        <v>9.2772654988217853E-104</v>
      </c>
    </row>
    <row r="13" spans="1:9">
      <c r="A13" s="7" t="s">
        <v>145</v>
      </c>
      <c r="B13" s="7">
        <v>313</v>
      </c>
      <c r="C13" s="7">
        <v>712359525024.66907</v>
      </c>
      <c r="D13" s="7">
        <v>2275909025.6379204</v>
      </c>
      <c r="E13" s="7"/>
      <c r="F13" s="7"/>
    </row>
    <row r="14" spans="1:9" ht="14.4" thickBot="1">
      <c r="A14" s="8" t="s">
        <v>146</v>
      </c>
      <c r="B14" s="8">
        <v>319</v>
      </c>
      <c r="C14" s="8">
        <v>3435168616790.7393</v>
      </c>
      <c r="D14" s="8"/>
      <c r="E14" s="8"/>
      <c r="F14" s="8"/>
    </row>
    <row r="15" spans="1:9" ht="14.4" thickBot="1"/>
    <row r="16" spans="1:9" ht="14.4">
      <c r="A16" s="9"/>
      <c r="B16" s="9" t="s">
        <v>153</v>
      </c>
      <c r="C16" s="9" t="s">
        <v>141</v>
      </c>
      <c r="D16" s="9" t="s">
        <v>154</v>
      </c>
      <c r="E16" s="9" t="s">
        <v>155</v>
      </c>
      <c r="F16" s="9" t="s">
        <v>156</v>
      </c>
      <c r="G16" s="9" t="s">
        <v>157</v>
      </c>
      <c r="H16" s="9" t="s">
        <v>158</v>
      </c>
      <c r="I16" s="9" t="s">
        <v>159</v>
      </c>
    </row>
    <row r="17" spans="1:9">
      <c r="A17" s="7" t="s">
        <v>147</v>
      </c>
      <c r="B17" s="7">
        <v>391327.12702655437</v>
      </c>
      <c r="C17" s="7">
        <v>12196.471223275552</v>
      </c>
      <c r="D17" s="7">
        <v>32.085274491506354</v>
      </c>
      <c r="E17" s="7">
        <v>5.583807041372155E-101</v>
      </c>
      <c r="F17" s="7">
        <v>367329.6915111735</v>
      </c>
      <c r="G17" s="7">
        <v>415324.56254193524</v>
      </c>
      <c r="H17" s="7">
        <v>367329.6915111735</v>
      </c>
      <c r="I17" s="7">
        <v>415324.56254193524</v>
      </c>
    </row>
    <row r="18" spans="1:9">
      <c r="A18" s="7" t="s">
        <v>4</v>
      </c>
      <c r="B18" s="7">
        <v>1.1427677945621104</v>
      </c>
      <c r="C18" s="7">
        <v>0.13819606862334297</v>
      </c>
      <c r="D18" s="7">
        <v>8.2691773068939778</v>
      </c>
      <c r="E18" s="7">
        <v>3.9015788624561405E-15</v>
      </c>
      <c r="F18" s="7">
        <v>0.87085707673587964</v>
      </c>
      <c r="G18" s="7">
        <v>1.4146785123883412</v>
      </c>
      <c r="H18" s="7">
        <v>0.87085707673587964</v>
      </c>
      <c r="I18" s="7">
        <v>1.4146785123883412</v>
      </c>
    </row>
    <row r="19" spans="1:9">
      <c r="A19" s="7" t="s">
        <v>5</v>
      </c>
      <c r="B19" s="7">
        <v>33.759348463201675</v>
      </c>
      <c r="C19" s="7">
        <v>1.1067823756005064</v>
      </c>
      <c r="D19" s="7">
        <v>30.502246157366645</v>
      </c>
      <c r="E19" s="7">
        <v>9.1860329683589992E-96</v>
      </c>
      <c r="F19" s="7">
        <v>31.581674429310084</v>
      </c>
      <c r="G19" s="7">
        <v>35.937022497093267</v>
      </c>
      <c r="H19" s="7">
        <v>31.581674429310084</v>
      </c>
      <c r="I19" s="7">
        <v>35.937022497093267</v>
      </c>
    </row>
    <row r="20" spans="1:9">
      <c r="A20" s="7" t="s">
        <v>6</v>
      </c>
      <c r="B20" s="7">
        <v>-72697.034300127096</v>
      </c>
      <c r="C20" s="7">
        <v>39930.44344078932</v>
      </c>
      <c r="D20" s="7">
        <v>-1.8205917098798456</v>
      </c>
      <c r="E20" s="7">
        <v>6.9623727562908674E-2</v>
      </c>
      <c r="F20" s="7">
        <v>-151263.05753988493</v>
      </c>
      <c r="G20" s="7">
        <v>5868.9889396307553</v>
      </c>
      <c r="H20" s="7">
        <v>-151263.05753988493</v>
      </c>
      <c r="I20" s="7">
        <v>5868.9889396307553</v>
      </c>
    </row>
    <row r="21" spans="1:9">
      <c r="A21" s="7" t="s">
        <v>130</v>
      </c>
      <c r="B21" s="7">
        <v>13427.776330494597</v>
      </c>
      <c r="C21" s="7">
        <v>7615.8956358282212</v>
      </c>
      <c r="D21" s="7">
        <v>1.7631250443250512</v>
      </c>
      <c r="E21" s="7">
        <v>7.8855155055438012E-2</v>
      </c>
      <c r="F21" s="7">
        <v>-1557.0468258851215</v>
      </c>
      <c r="G21" s="7">
        <v>28412.599486874315</v>
      </c>
      <c r="H21" s="7">
        <v>-1557.0468258851215</v>
      </c>
      <c r="I21" s="7">
        <v>28412.599486874315</v>
      </c>
    </row>
    <row r="22" spans="1:9">
      <c r="A22" s="7" t="s">
        <v>131</v>
      </c>
      <c r="B22" s="7">
        <v>21268.104868203525</v>
      </c>
      <c r="C22" s="7">
        <v>7850.2362495514035</v>
      </c>
      <c r="D22" s="7">
        <v>2.7092311864396281</v>
      </c>
      <c r="E22" s="7">
        <v>7.1152744129848273E-3</v>
      </c>
      <c r="F22" s="7">
        <v>5822.1996772329403</v>
      </c>
      <c r="G22" s="7">
        <v>36714.010059174107</v>
      </c>
      <c r="H22" s="7">
        <v>5822.1996772329403</v>
      </c>
      <c r="I22" s="7">
        <v>36714.010059174107</v>
      </c>
    </row>
    <row r="23" spans="1:9" ht="14.4" thickBot="1">
      <c r="A23" s="8" t="s">
        <v>132</v>
      </c>
      <c r="B23" s="8">
        <v>19854.545884289179</v>
      </c>
      <c r="C23" s="8">
        <v>6862.8489442880737</v>
      </c>
      <c r="D23" s="8">
        <v>2.8930471944620102</v>
      </c>
      <c r="E23" s="8">
        <v>4.0827992353303644E-3</v>
      </c>
      <c r="F23" s="8">
        <v>6351.3963275502174</v>
      </c>
      <c r="G23" s="8">
        <v>33357.69544102814</v>
      </c>
      <c r="H23" s="8">
        <v>6351.3963275502174</v>
      </c>
      <c r="I23" s="8">
        <v>33357.69544102814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4EC08-853F-4EE6-BD9D-43EE3BD02F87}">
  <dimension ref="A1:E6"/>
  <sheetViews>
    <sheetView tabSelected="1" zoomScale="83" workbookViewId="0">
      <selection activeCell="A6" sqref="A6"/>
    </sheetView>
  </sheetViews>
  <sheetFormatPr defaultRowHeight="13.8"/>
  <cols>
    <col min="1" max="1" width="23.19921875" customWidth="1"/>
    <col min="2" max="2" width="21.796875" customWidth="1"/>
    <col min="3" max="3" width="17.69921875" customWidth="1"/>
    <col min="4" max="4" width="20" customWidth="1"/>
    <col min="5" max="5" width="25.19921875" customWidth="1"/>
  </cols>
  <sheetData>
    <row r="1" spans="1:5" ht="41.4" customHeight="1">
      <c r="A1" s="4" t="s">
        <v>160</v>
      </c>
      <c r="B1" s="4" t="s">
        <v>161</v>
      </c>
      <c r="C1" s="4" t="s">
        <v>162</v>
      </c>
      <c r="D1" s="4" t="s">
        <v>163</v>
      </c>
      <c r="E1" s="4" t="s">
        <v>164</v>
      </c>
    </row>
    <row r="2" spans="1:5" ht="52.8" customHeight="1">
      <c r="A2" s="5" t="s">
        <v>165</v>
      </c>
      <c r="B2" s="5" t="s">
        <v>166</v>
      </c>
      <c r="C2" s="5">
        <v>0.16700000000000001</v>
      </c>
      <c r="D2" s="5" t="s">
        <v>166</v>
      </c>
      <c r="E2" s="5" t="s">
        <v>167</v>
      </c>
    </row>
    <row r="3" spans="1:5" ht="27.6">
      <c r="A3" s="5" t="s">
        <v>168</v>
      </c>
      <c r="B3" s="5" t="s">
        <v>169</v>
      </c>
      <c r="C3" s="5">
        <v>0.73599999999999999</v>
      </c>
      <c r="D3" s="5" t="s">
        <v>169</v>
      </c>
      <c r="E3" s="5" t="s">
        <v>170</v>
      </c>
    </row>
    <row r="4" spans="1:5" ht="72" customHeight="1">
      <c r="A4" s="5" t="s">
        <v>171</v>
      </c>
      <c r="B4" s="5" t="s">
        <v>172</v>
      </c>
      <c r="C4" s="5">
        <v>0.79300000000000004</v>
      </c>
      <c r="D4" s="5" t="s">
        <v>179</v>
      </c>
      <c r="E4" s="5" t="s">
        <v>173</v>
      </c>
    </row>
    <row r="6" spans="1:5" ht="33.6" customHeight="1">
      <c r="A6" t="s">
        <v>174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election activeCell="K18" sqref="K18"/>
    </sheetView>
  </sheetViews>
  <sheetFormatPr defaultRowHeight="13.8"/>
  <cols>
    <col min="1" max="2" width="28" customWidth="1"/>
  </cols>
  <sheetData>
    <row r="1" spans="1:2" ht="22.35" customHeight="1">
      <c r="A1" s="1" t="s">
        <v>102</v>
      </c>
      <c r="B1" s="1" t="s">
        <v>103</v>
      </c>
    </row>
    <row r="2" spans="1:2">
      <c r="A2" s="3" t="s">
        <v>0</v>
      </c>
      <c r="B2" s="3" t="s">
        <v>104</v>
      </c>
    </row>
    <row r="3" spans="1:2">
      <c r="A3" s="3" t="s">
        <v>1</v>
      </c>
      <c r="B3" s="3" t="s">
        <v>105</v>
      </c>
    </row>
    <row r="4" spans="1:2">
      <c r="A4" s="3" t="s">
        <v>2</v>
      </c>
      <c r="B4" s="3" t="s">
        <v>106</v>
      </c>
    </row>
    <row r="5" spans="1:2" ht="27.6">
      <c r="A5" s="3" t="s">
        <v>3</v>
      </c>
      <c r="B5" s="3" t="s">
        <v>107</v>
      </c>
    </row>
    <row r="6" spans="1:2" ht="27.6">
      <c r="A6" s="3" t="s">
        <v>4</v>
      </c>
      <c r="B6" s="3" t="s">
        <v>108</v>
      </c>
    </row>
    <row r="7" spans="1:2">
      <c r="A7" s="3" t="s">
        <v>5</v>
      </c>
      <c r="B7" s="3" t="s">
        <v>109</v>
      </c>
    </row>
    <row r="8" spans="1:2" ht="27.6">
      <c r="A8" s="3" t="s">
        <v>6</v>
      </c>
      <c r="B8" s="3" t="s">
        <v>110</v>
      </c>
    </row>
    <row r="9" spans="1:2">
      <c r="A9" s="3" t="s">
        <v>7</v>
      </c>
      <c r="B9" s="3" t="s">
        <v>111</v>
      </c>
    </row>
    <row r="10" spans="1:2" ht="27.6">
      <c r="A10" s="3" t="s">
        <v>8</v>
      </c>
      <c r="B10" s="3" t="s">
        <v>112</v>
      </c>
    </row>
    <row r="11" spans="1:2">
      <c r="A11" s="3" t="s">
        <v>9</v>
      </c>
      <c r="B11" s="3" t="s">
        <v>113</v>
      </c>
    </row>
    <row r="12" spans="1:2" ht="41.4">
      <c r="A12" s="3" t="s">
        <v>10</v>
      </c>
      <c r="B12" s="3" t="s">
        <v>114</v>
      </c>
    </row>
    <row r="13" spans="1:2">
      <c r="A13" s="3" t="s">
        <v>11</v>
      </c>
      <c r="B13" s="3" t="s">
        <v>115</v>
      </c>
    </row>
    <row r="14" spans="1:2" ht="27.6">
      <c r="A14" s="3" t="s">
        <v>12</v>
      </c>
      <c r="B14" s="3" t="s">
        <v>116</v>
      </c>
    </row>
    <row r="15" spans="1:2" ht="27.6">
      <c r="A15" s="3" t="s">
        <v>13</v>
      </c>
      <c r="B15" s="3"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Original_Data</vt:lpstr>
      <vt:lpstr>Cleaned_data</vt:lpstr>
      <vt:lpstr>Simple_Reg_Marketing</vt:lpstr>
      <vt:lpstr>Simple_Reg_Footfall</vt:lpstr>
      <vt:lpstr>Dummy_Variables</vt:lpstr>
      <vt:lpstr>Multiple_Regression_Residuals</vt:lpstr>
      <vt:lpstr>Multiple_regression_data</vt:lpstr>
      <vt:lpstr>Multiple_Regression</vt:lpstr>
      <vt:lpstr>Model_Comparison</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krishnav bajaj</cp:lastModifiedBy>
  <dcterms:modified xsi:type="dcterms:W3CDTF">2026-06-21T11:50:32Z</dcterms:modified>
</cp:coreProperties>
</file>